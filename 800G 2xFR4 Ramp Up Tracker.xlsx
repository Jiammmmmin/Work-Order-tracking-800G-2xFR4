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95740AEE-9720-475F-9254-34209010AF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B" sheetId="7" r:id="rId1"/>
    <sheet name="Module Assembly" sheetId="11" state="hidden" r:id="rId2"/>
    <sheet name="AOC 400G WOs" sheetId="4" state="hidden" r:id="rId3"/>
    <sheet name="MSFT Orders Summary" sheetId="8" state="hidden" r:id="rId4"/>
    <sheet name="AOC 200G(Returned)" sheetId="9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7" l="1"/>
  <c r="I19" i="7"/>
  <c r="K19" i="7"/>
  <c r="M19" i="7"/>
  <c r="O19" i="7"/>
  <c r="Q19" i="7"/>
  <c r="S19" i="7"/>
  <c r="U19" i="7"/>
  <c r="W19" i="7"/>
  <c r="Y19" i="7"/>
  <c r="AA19" i="7"/>
  <c r="AC19" i="7"/>
  <c r="AE19" i="7"/>
  <c r="AG19" i="7"/>
  <c r="E19" i="7"/>
  <c r="G9" i="7"/>
  <c r="I9" i="7"/>
  <c r="K9" i="7"/>
  <c r="M9" i="7"/>
  <c r="O9" i="7"/>
  <c r="Q9" i="7"/>
  <c r="S9" i="7"/>
  <c r="U9" i="7"/>
  <c r="W9" i="7"/>
  <c r="Y9" i="7"/>
  <c r="AA9" i="7"/>
  <c r="AC9" i="7"/>
  <c r="AE9" i="7"/>
  <c r="AG9" i="7"/>
  <c r="E9" i="7"/>
  <c r="G21" i="7"/>
  <c r="I21" i="7"/>
  <c r="K21" i="7"/>
  <c r="M21" i="7"/>
  <c r="O21" i="7"/>
  <c r="Q21" i="7"/>
  <c r="S21" i="7"/>
  <c r="U21" i="7"/>
  <c r="W21" i="7"/>
  <c r="Y21" i="7"/>
  <c r="AA21" i="7"/>
  <c r="AC21" i="7"/>
  <c r="AE21" i="7"/>
  <c r="AG21" i="7"/>
  <c r="E21" i="7"/>
  <c r="G11" i="7"/>
  <c r="I11" i="7"/>
  <c r="M11" i="7"/>
  <c r="O11" i="7"/>
  <c r="Q11" i="7"/>
  <c r="E11" i="7"/>
  <c r="G15" i="7"/>
  <c r="K15" i="7"/>
  <c r="S15" i="7"/>
  <c r="AE15" i="7"/>
  <c r="AE5" i="7"/>
  <c r="S5" i="7"/>
  <c r="G5" i="7"/>
  <c r="K5" i="7"/>
  <c r="AG18" i="7"/>
  <c r="AG8" i="7"/>
  <c r="O5" i="7"/>
  <c r="P6" i="7" s="1"/>
  <c r="F23" i="7"/>
  <c r="G23" i="7"/>
  <c r="H23" i="7"/>
  <c r="I23" i="7"/>
  <c r="J23" i="7"/>
  <c r="L23" i="7"/>
  <c r="M23" i="7"/>
  <c r="N23" i="7"/>
  <c r="O23" i="7"/>
  <c r="P23" i="7"/>
  <c r="Q23" i="7"/>
  <c r="R23" i="7"/>
  <c r="T23" i="7"/>
  <c r="V23" i="7"/>
  <c r="E23" i="7"/>
  <c r="Q22" i="7"/>
  <c r="O22" i="7"/>
  <c r="M22" i="7"/>
  <c r="I22" i="7"/>
  <c r="G22" i="7"/>
  <c r="E22" i="7"/>
  <c r="U22" i="7"/>
  <c r="S22" i="7"/>
  <c r="K22" i="7"/>
  <c r="AE18" i="7"/>
  <c r="AC18" i="7"/>
  <c r="AA18" i="7"/>
  <c r="Y18" i="7"/>
  <c r="W18" i="7"/>
  <c r="U18" i="7"/>
  <c r="S18" i="7"/>
  <c r="Q18" i="7"/>
  <c r="O18" i="7"/>
  <c r="M18" i="7"/>
  <c r="K18" i="7"/>
  <c r="I18" i="7"/>
  <c r="G18" i="7"/>
  <c r="E18" i="7"/>
  <c r="W15" i="7"/>
  <c r="X16" i="7" s="1"/>
  <c r="U15" i="7"/>
  <c r="V16" i="7" s="1"/>
  <c r="T16" i="7"/>
  <c r="Q15" i="7"/>
  <c r="R16" i="7" s="1"/>
  <c r="O15" i="7"/>
  <c r="P16" i="7" s="1"/>
  <c r="M15" i="7"/>
  <c r="N16" i="7" s="1"/>
  <c r="L16" i="7"/>
  <c r="I15" i="7"/>
  <c r="J16" i="7" s="1"/>
  <c r="H16" i="7"/>
  <c r="E15" i="7"/>
  <c r="F16" i="7" s="1"/>
  <c r="Q5" i="7"/>
  <c r="AE8" i="7"/>
  <c r="AC8" i="7"/>
  <c r="AA8" i="7"/>
  <c r="Y8" i="7"/>
  <c r="W8" i="7"/>
  <c r="U8" i="7"/>
  <c r="S8" i="7"/>
  <c r="Q8" i="7"/>
  <c r="R6" i="7"/>
  <c r="O8" i="7"/>
  <c r="M8" i="7"/>
  <c r="M5" i="7"/>
  <c r="N6" i="7" s="1"/>
  <c r="K8" i="7"/>
  <c r="I8" i="7"/>
  <c r="I5" i="7"/>
  <c r="J6" i="7" s="1"/>
  <c r="H6" i="7"/>
  <c r="G8" i="7"/>
  <c r="E5" i="7"/>
  <c r="G12" i="7"/>
  <c r="E8" i="7"/>
  <c r="F6" i="7"/>
  <c r="M24" i="7"/>
  <c r="O24" i="7"/>
  <c r="Q24" i="7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Q6" i="11"/>
  <c r="O6" i="11"/>
  <c r="M6" i="11"/>
  <c r="I6" i="11"/>
  <c r="G6" i="11"/>
  <c r="E6" i="11"/>
  <c r="W5" i="11"/>
  <c r="X5" i="11" s="1"/>
  <c r="U5" i="11"/>
  <c r="U6" i="11" s="1"/>
  <c r="S5" i="11"/>
  <c r="S6" i="11" s="1"/>
  <c r="K5" i="11"/>
  <c r="K6" i="11" s="1"/>
  <c r="G3" i="11"/>
  <c r="I3" i="11" s="1"/>
  <c r="K3" i="11" s="1"/>
  <c r="M3" i="11" s="1"/>
  <c r="O3" i="11" s="1"/>
  <c r="Q3" i="11" s="1"/>
  <c r="S3" i="11" s="1"/>
  <c r="U3" i="11" s="1"/>
  <c r="W3" i="11" s="1"/>
  <c r="Y3" i="11" s="1"/>
  <c r="AA3" i="11" s="1"/>
  <c r="AC3" i="11" s="1"/>
  <c r="AE3" i="11" s="1"/>
  <c r="AG3" i="11" s="1"/>
  <c r="AI3" i="11" s="1"/>
  <c r="AK3" i="11" s="1"/>
  <c r="AM3" i="11" s="1"/>
  <c r="AO3" i="11" s="1"/>
  <c r="AQ3" i="11" s="1"/>
  <c r="AS3" i="11" s="1"/>
  <c r="G24" i="7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E91" i="4"/>
  <c r="E86" i="4"/>
  <c r="AI90" i="4"/>
  <c r="AG90" i="4"/>
  <c r="AE90" i="4"/>
  <c r="AC90" i="4"/>
  <c r="AA90" i="4"/>
  <c r="Y90" i="4"/>
  <c r="W90" i="4"/>
  <c r="U90" i="4"/>
  <c r="S90" i="4"/>
  <c r="Q90" i="4"/>
  <c r="O90" i="4"/>
  <c r="M90" i="4"/>
  <c r="K90" i="4"/>
  <c r="I90" i="4"/>
  <c r="G90" i="4"/>
  <c r="E90" i="4"/>
  <c r="AK89" i="4"/>
  <c r="M87" i="4"/>
  <c r="O87" i="4" s="1"/>
  <c r="Q87" i="4" s="1"/>
  <c r="S87" i="4" s="1"/>
  <c r="U87" i="4" s="1"/>
  <c r="W87" i="4" s="1"/>
  <c r="Y87" i="4" s="1"/>
  <c r="AA87" i="4" s="1"/>
  <c r="AC87" i="4" s="1"/>
  <c r="AE87" i="4" s="1"/>
  <c r="AG87" i="4" s="1"/>
  <c r="AI87" i="4" s="1"/>
  <c r="G87" i="4"/>
  <c r="I87" i="4" s="1"/>
  <c r="K87" i="4" s="1"/>
  <c r="AI86" i="4"/>
  <c r="AG86" i="4"/>
  <c r="AE86" i="4"/>
  <c r="AC86" i="4"/>
  <c r="AA86" i="4"/>
  <c r="Y86" i="4"/>
  <c r="W86" i="4"/>
  <c r="U86" i="4"/>
  <c r="S86" i="4"/>
  <c r="Q86" i="4"/>
  <c r="O86" i="4"/>
  <c r="M86" i="4"/>
  <c r="K86" i="4"/>
  <c r="I86" i="4"/>
  <c r="G86" i="4"/>
  <c r="AK85" i="4"/>
  <c r="M83" i="4"/>
  <c r="O83" i="4" s="1"/>
  <c r="Q83" i="4" s="1"/>
  <c r="S83" i="4" s="1"/>
  <c r="U83" i="4" s="1"/>
  <c r="W83" i="4" s="1"/>
  <c r="Y83" i="4" s="1"/>
  <c r="AA83" i="4" s="1"/>
  <c r="AC83" i="4" s="1"/>
  <c r="AE83" i="4" s="1"/>
  <c r="AG83" i="4" s="1"/>
  <c r="AI83" i="4" s="1"/>
  <c r="G83" i="4"/>
  <c r="I83" i="4" s="1"/>
  <c r="K83" i="4" s="1"/>
  <c r="AI82" i="4"/>
  <c r="AG82" i="4"/>
  <c r="AE82" i="4"/>
  <c r="AC82" i="4"/>
  <c r="AA82" i="4"/>
  <c r="Y82" i="4"/>
  <c r="W82" i="4"/>
  <c r="U82" i="4"/>
  <c r="S82" i="4"/>
  <c r="Q82" i="4"/>
  <c r="O82" i="4"/>
  <c r="M82" i="4"/>
  <c r="K82" i="4"/>
  <c r="I82" i="4"/>
  <c r="G82" i="4"/>
  <c r="E82" i="4"/>
  <c r="AK81" i="4"/>
  <c r="M79" i="4"/>
  <c r="O79" i="4" s="1"/>
  <c r="Q79" i="4" s="1"/>
  <c r="S79" i="4" s="1"/>
  <c r="U79" i="4" s="1"/>
  <c r="W79" i="4" s="1"/>
  <c r="Y79" i="4" s="1"/>
  <c r="AA79" i="4" s="1"/>
  <c r="AC79" i="4" s="1"/>
  <c r="AE79" i="4" s="1"/>
  <c r="AG79" i="4" s="1"/>
  <c r="AI79" i="4" s="1"/>
  <c r="G79" i="4"/>
  <c r="I79" i="4" s="1"/>
  <c r="K79" i="4" s="1"/>
  <c r="AI78" i="4"/>
  <c r="AG78" i="4"/>
  <c r="AE78" i="4"/>
  <c r="AC78" i="4"/>
  <c r="AA78" i="4"/>
  <c r="Y78" i="4"/>
  <c r="W78" i="4"/>
  <c r="U78" i="4"/>
  <c r="S78" i="4"/>
  <c r="Q78" i="4"/>
  <c r="O78" i="4"/>
  <c r="M78" i="4"/>
  <c r="K78" i="4"/>
  <c r="I78" i="4"/>
  <c r="G78" i="4"/>
  <c r="E78" i="4"/>
  <c r="AK77" i="4"/>
  <c r="M75" i="4"/>
  <c r="O75" i="4" s="1"/>
  <c r="Q75" i="4" s="1"/>
  <c r="S75" i="4" s="1"/>
  <c r="U75" i="4" s="1"/>
  <c r="W75" i="4" s="1"/>
  <c r="Y75" i="4" s="1"/>
  <c r="AA75" i="4" s="1"/>
  <c r="AC75" i="4" s="1"/>
  <c r="AE75" i="4" s="1"/>
  <c r="AG75" i="4" s="1"/>
  <c r="AI75" i="4" s="1"/>
  <c r="G75" i="4"/>
  <c r="I75" i="4" s="1"/>
  <c r="K75" i="4" s="1"/>
  <c r="G71" i="4"/>
  <c r="I71" i="4"/>
  <c r="K71" i="4"/>
  <c r="M71" i="4"/>
  <c r="O71" i="4"/>
  <c r="Q71" i="4"/>
  <c r="S71" i="4"/>
  <c r="U71" i="4"/>
  <c r="W71" i="4"/>
  <c r="Y71" i="4"/>
  <c r="AA71" i="4"/>
  <c r="AC71" i="4"/>
  <c r="AE71" i="4"/>
  <c r="AG71" i="4"/>
  <c r="AI71" i="4"/>
  <c r="AK73" i="4"/>
  <c r="E74" i="4"/>
  <c r="G74" i="4"/>
  <c r="I74" i="4"/>
  <c r="K74" i="4"/>
  <c r="M74" i="4"/>
  <c r="O74" i="4"/>
  <c r="Q74" i="4"/>
  <c r="S74" i="4"/>
  <c r="U74" i="4"/>
  <c r="W74" i="4"/>
  <c r="Y74" i="4"/>
  <c r="AA74" i="4"/>
  <c r="AC74" i="4"/>
  <c r="AE74" i="4"/>
  <c r="AG74" i="4"/>
  <c r="AI74" i="4"/>
  <c r="G67" i="4"/>
  <c r="I67" i="4"/>
  <c r="K67" i="4"/>
  <c r="M67" i="4"/>
  <c r="O67" i="4"/>
  <c r="Q67" i="4"/>
  <c r="S67" i="4"/>
  <c r="U67" i="4"/>
  <c r="W67" i="4"/>
  <c r="Y67" i="4"/>
  <c r="AA67" i="4"/>
  <c r="AC67" i="4"/>
  <c r="AE67" i="4"/>
  <c r="AG67" i="4"/>
  <c r="AI67" i="4"/>
  <c r="AK69" i="4"/>
  <c r="E70" i="4"/>
  <c r="G70" i="4"/>
  <c r="I70" i="4"/>
  <c r="K70" i="4"/>
  <c r="M70" i="4"/>
  <c r="O70" i="4"/>
  <c r="Q70" i="4"/>
  <c r="S70" i="4"/>
  <c r="U70" i="4"/>
  <c r="W70" i="4"/>
  <c r="Y70" i="4"/>
  <c r="AA70" i="4"/>
  <c r="AC70" i="4"/>
  <c r="AE70" i="4"/>
  <c r="AG70" i="4"/>
  <c r="AI70" i="4"/>
  <c r="G63" i="4"/>
  <c r="I63" i="4"/>
  <c r="K63" i="4"/>
  <c r="M63" i="4"/>
  <c r="O63" i="4"/>
  <c r="Q63" i="4"/>
  <c r="S63" i="4"/>
  <c r="U63" i="4"/>
  <c r="W63" i="4"/>
  <c r="Y63" i="4"/>
  <c r="AA63" i="4"/>
  <c r="AC63" i="4"/>
  <c r="AE63" i="4"/>
  <c r="AG63" i="4"/>
  <c r="AI63" i="4"/>
  <c r="AK65" i="4"/>
  <c r="E66" i="4"/>
  <c r="G66" i="4"/>
  <c r="I66" i="4"/>
  <c r="K66" i="4"/>
  <c r="M66" i="4"/>
  <c r="O66" i="4"/>
  <c r="Q66" i="4"/>
  <c r="S66" i="4"/>
  <c r="U66" i="4"/>
  <c r="W66" i="4"/>
  <c r="Y66" i="4"/>
  <c r="AA66" i="4"/>
  <c r="AC66" i="4"/>
  <c r="AE66" i="4"/>
  <c r="AG66" i="4"/>
  <c r="AI66" i="4"/>
  <c r="AI62" i="4"/>
  <c r="AG62" i="4"/>
  <c r="AE62" i="4"/>
  <c r="AC62" i="4"/>
  <c r="AA62" i="4"/>
  <c r="Y62" i="4"/>
  <c r="W62" i="4"/>
  <c r="U62" i="4"/>
  <c r="S62" i="4"/>
  <c r="Q62" i="4"/>
  <c r="O62" i="4"/>
  <c r="M62" i="4"/>
  <c r="K62" i="4"/>
  <c r="I62" i="4"/>
  <c r="G62" i="4"/>
  <c r="E62" i="4"/>
  <c r="AK61" i="4"/>
  <c r="M59" i="4"/>
  <c r="O59" i="4"/>
  <c r="Q59" i="4"/>
  <c r="S59" i="4"/>
  <c r="U59" i="4"/>
  <c r="W59" i="4"/>
  <c r="Y59" i="4"/>
  <c r="AA59" i="4"/>
  <c r="AC59" i="4"/>
  <c r="AE59" i="4"/>
  <c r="AG59" i="4"/>
  <c r="AI59" i="4"/>
  <c r="G59" i="4"/>
  <c r="I59" i="4"/>
  <c r="K59" i="4"/>
  <c r="AI58" i="4"/>
  <c r="AG58" i="4"/>
  <c r="AE58" i="4"/>
  <c r="AC58" i="4"/>
  <c r="AA58" i="4"/>
  <c r="Y58" i="4"/>
  <c r="W58" i="4"/>
  <c r="U58" i="4"/>
  <c r="S58" i="4"/>
  <c r="Q58" i="4"/>
  <c r="O58" i="4"/>
  <c r="M58" i="4"/>
  <c r="K58" i="4"/>
  <c r="I58" i="4"/>
  <c r="G58" i="4"/>
  <c r="E58" i="4"/>
  <c r="AK57" i="4"/>
  <c r="M55" i="4"/>
  <c r="O55" i="4"/>
  <c r="Q55" i="4"/>
  <c r="S55" i="4"/>
  <c r="U55" i="4"/>
  <c r="W55" i="4"/>
  <c r="Y55" i="4"/>
  <c r="AA55" i="4"/>
  <c r="AC55" i="4"/>
  <c r="AE55" i="4"/>
  <c r="AG55" i="4"/>
  <c r="AI55" i="4"/>
  <c r="G55" i="4"/>
  <c r="I55" i="4"/>
  <c r="K55" i="4"/>
  <c r="F24" i="8"/>
  <c r="H24" i="8"/>
  <c r="H23" i="8"/>
  <c r="F23" i="8"/>
  <c r="F45" i="8"/>
  <c r="F44" i="8"/>
  <c r="AI54" i="4"/>
  <c r="AG54" i="4"/>
  <c r="AE54" i="4"/>
  <c r="AC54" i="4"/>
  <c r="AA54" i="4"/>
  <c r="Y54" i="4"/>
  <c r="W54" i="4"/>
  <c r="U54" i="4"/>
  <c r="S54" i="4"/>
  <c r="Q54" i="4"/>
  <c r="O54" i="4"/>
  <c r="M54" i="4"/>
  <c r="K54" i="4"/>
  <c r="I54" i="4"/>
  <c r="G54" i="4"/>
  <c r="E54" i="4"/>
  <c r="AK53" i="4"/>
  <c r="M51" i="4"/>
  <c r="O51" i="4"/>
  <c r="Q51" i="4"/>
  <c r="S51" i="4"/>
  <c r="U51" i="4"/>
  <c r="W51" i="4"/>
  <c r="Y51" i="4"/>
  <c r="AA51" i="4"/>
  <c r="AC51" i="4"/>
  <c r="AE51" i="4"/>
  <c r="AG51" i="4"/>
  <c r="AI51" i="4"/>
  <c r="G51" i="4"/>
  <c r="I51" i="4"/>
  <c r="K51" i="4"/>
  <c r="AI50" i="4"/>
  <c r="AG50" i="4"/>
  <c r="AE50" i="4"/>
  <c r="AC50" i="4"/>
  <c r="AA50" i="4"/>
  <c r="Y50" i="4"/>
  <c r="W50" i="4"/>
  <c r="U50" i="4"/>
  <c r="S50" i="4"/>
  <c r="Q50" i="4"/>
  <c r="O50" i="4"/>
  <c r="M50" i="4"/>
  <c r="K50" i="4"/>
  <c r="I50" i="4"/>
  <c r="G50" i="4"/>
  <c r="E50" i="4"/>
  <c r="AK49" i="4"/>
  <c r="M47" i="4"/>
  <c r="O47" i="4"/>
  <c r="Q47" i="4"/>
  <c r="S47" i="4"/>
  <c r="U47" i="4"/>
  <c r="W47" i="4"/>
  <c r="Y47" i="4"/>
  <c r="AA47" i="4"/>
  <c r="AC47" i="4"/>
  <c r="AE47" i="4"/>
  <c r="AG47" i="4"/>
  <c r="AI47" i="4"/>
  <c r="G47" i="4"/>
  <c r="I47" i="4"/>
  <c r="K47" i="4"/>
  <c r="O22" i="4"/>
  <c r="G46" i="4"/>
  <c r="I46" i="4"/>
  <c r="K46" i="4"/>
  <c r="G42" i="4"/>
  <c r="I42" i="4"/>
  <c r="K42" i="4"/>
  <c r="G38" i="4"/>
  <c r="I38" i="4"/>
  <c r="K38" i="4"/>
  <c r="G34" i="4"/>
  <c r="I34" i="4"/>
  <c r="K34" i="4"/>
  <c r="G30" i="4"/>
  <c r="I30" i="4"/>
  <c r="K30" i="4"/>
  <c r="G26" i="4"/>
  <c r="I26" i="4"/>
  <c r="K26" i="4"/>
  <c r="G22" i="4"/>
  <c r="I22" i="4"/>
  <c r="K22" i="4"/>
  <c r="G18" i="4"/>
  <c r="I18" i="4"/>
  <c r="K18" i="4"/>
  <c r="G14" i="4"/>
  <c r="I14" i="4"/>
  <c r="K14" i="4"/>
  <c r="G10" i="4"/>
  <c r="I10" i="4"/>
  <c r="K10" i="4"/>
  <c r="G6" i="4"/>
  <c r="I6" i="4"/>
  <c r="K6" i="4"/>
  <c r="D28" i="8"/>
  <c r="C28" i="8"/>
  <c r="E28" i="8"/>
  <c r="C27" i="8"/>
  <c r="D26" i="8"/>
  <c r="C26" i="8"/>
  <c r="G43" i="4"/>
  <c r="I43" i="4"/>
  <c r="K43" i="4"/>
  <c r="G39" i="4"/>
  <c r="I39" i="4"/>
  <c r="K39" i="4"/>
  <c r="G35" i="4"/>
  <c r="I35" i="4"/>
  <c r="K35" i="4"/>
  <c r="G31" i="4"/>
  <c r="I31" i="4"/>
  <c r="K31" i="4"/>
  <c r="G27" i="4"/>
  <c r="I27" i="4"/>
  <c r="K27" i="4"/>
  <c r="G23" i="4"/>
  <c r="I23" i="4"/>
  <c r="K23" i="4"/>
  <c r="G19" i="4"/>
  <c r="I19" i="4"/>
  <c r="K19" i="4"/>
  <c r="G15" i="4"/>
  <c r="I15" i="4"/>
  <c r="K15" i="4"/>
  <c r="G11" i="4"/>
  <c r="I11" i="4"/>
  <c r="K11" i="4"/>
  <c r="G7" i="4"/>
  <c r="I7" i="4"/>
  <c r="K7" i="4"/>
  <c r="M3" i="4"/>
  <c r="G3" i="4"/>
  <c r="I3" i="4"/>
  <c r="K3" i="4"/>
  <c r="J28" i="8"/>
  <c r="I28" i="8"/>
  <c r="E24" i="7"/>
  <c r="D7" i="8"/>
  <c r="C7" i="8"/>
  <c r="I7" i="8"/>
  <c r="H45" i="8"/>
  <c r="AK9" i="4"/>
  <c r="AK13" i="4"/>
  <c r="AK17" i="4"/>
  <c r="AK21" i="4"/>
  <c r="AK25" i="4"/>
  <c r="AK29" i="4"/>
  <c r="AK33" i="4"/>
  <c r="AK37" i="4"/>
  <c r="AK41" i="4"/>
  <c r="AK45" i="4"/>
  <c r="AK5" i="4"/>
  <c r="AK91" i="4" s="1" a="1"/>
  <c r="AK91" i="4" s="1"/>
  <c r="AE38" i="4"/>
  <c r="U15" i="9"/>
  <c r="U11" i="9"/>
  <c r="U7" i="9"/>
  <c r="U3" i="9"/>
  <c r="Y18" i="9"/>
  <c r="W18" i="9"/>
  <c r="U18" i="9"/>
  <c r="S18" i="9"/>
  <c r="Q18" i="9"/>
  <c r="O18" i="9"/>
  <c r="M18" i="9"/>
  <c r="G18" i="9"/>
  <c r="E18" i="9"/>
  <c r="K18" i="9"/>
  <c r="I18" i="9"/>
  <c r="G15" i="9"/>
  <c r="I15" i="9"/>
  <c r="K15" i="9"/>
  <c r="M15" i="9"/>
  <c r="O15" i="9"/>
  <c r="Q15" i="9"/>
  <c r="S15" i="9"/>
  <c r="W15" i="9"/>
  <c r="Y15" i="9"/>
  <c r="Y14" i="9"/>
  <c r="W14" i="9"/>
  <c r="U14" i="9"/>
  <c r="S14" i="9"/>
  <c r="Q14" i="9"/>
  <c r="O14" i="9"/>
  <c r="M14" i="9"/>
  <c r="G14" i="9"/>
  <c r="E14" i="9"/>
  <c r="K14" i="9"/>
  <c r="I14" i="9"/>
  <c r="G11" i="9"/>
  <c r="I11" i="9"/>
  <c r="K11" i="9"/>
  <c r="M11" i="9"/>
  <c r="O11" i="9"/>
  <c r="Q11" i="9"/>
  <c r="S11" i="9"/>
  <c r="W11" i="9"/>
  <c r="Y11" i="9"/>
  <c r="Y10" i="9"/>
  <c r="W10" i="9"/>
  <c r="U10" i="9"/>
  <c r="S10" i="9"/>
  <c r="Q10" i="9"/>
  <c r="O10" i="9"/>
  <c r="M10" i="9"/>
  <c r="G10" i="9"/>
  <c r="E10" i="9"/>
  <c r="K10" i="9"/>
  <c r="I10" i="9"/>
  <c r="G7" i="9"/>
  <c r="I7" i="9"/>
  <c r="K7" i="9"/>
  <c r="M7" i="9"/>
  <c r="O7" i="9"/>
  <c r="Q7" i="9"/>
  <c r="S7" i="9"/>
  <c r="W7" i="9"/>
  <c r="Y7" i="9"/>
  <c r="Y6" i="9"/>
  <c r="W6" i="9"/>
  <c r="U6" i="9"/>
  <c r="S6" i="9"/>
  <c r="Q6" i="9"/>
  <c r="O6" i="9"/>
  <c r="M6" i="9"/>
  <c r="G6" i="9"/>
  <c r="E6" i="9"/>
  <c r="K6" i="9"/>
  <c r="I6" i="9"/>
  <c r="G3" i="9"/>
  <c r="I3" i="9"/>
  <c r="K3" i="9"/>
  <c r="M3" i="9"/>
  <c r="O3" i="9"/>
  <c r="Q3" i="9"/>
  <c r="S3" i="9"/>
  <c r="W3" i="9"/>
  <c r="Y3" i="9"/>
  <c r="M92" i="4"/>
  <c r="S92" i="4"/>
  <c r="U92" i="4"/>
  <c r="W92" i="4"/>
  <c r="Y92" i="4"/>
  <c r="AA92" i="4"/>
  <c r="AC92" i="4"/>
  <c r="AE92" i="4"/>
  <c r="AG92" i="4"/>
  <c r="AI92" i="4"/>
  <c r="AI46" i="4"/>
  <c r="AG46" i="4"/>
  <c r="AE46" i="4"/>
  <c r="AC46" i="4"/>
  <c r="AA46" i="4"/>
  <c r="Y46" i="4"/>
  <c r="W46" i="4"/>
  <c r="U46" i="4"/>
  <c r="S46" i="4"/>
  <c r="Q46" i="4"/>
  <c r="O46" i="4"/>
  <c r="M46" i="4"/>
  <c r="E46" i="4"/>
  <c r="M43" i="4"/>
  <c r="O43" i="4"/>
  <c r="Q43" i="4"/>
  <c r="S43" i="4"/>
  <c r="U43" i="4"/>
  <c r="W43" i="4"/>
  <c r="Y43" i="4"/>
  <c r="AA43" i="4"/>
  <c r="AC43" i="4"/>
  <c r="AE43" i="4"/>
  <c r="AG43" i="4"/>
  <c r="AI43" i="4"/>
  <c r="AI42" i="4"/>
  <c r="AG42" i="4"/>
  <c r="AE42" i="4"/>
  <c r="AC42" i="4"/>
  <c r="AA42" i="4"/>
  <c r="Y42" i="4"/>
  <c r="W42" i="4"/>
  <c r="U42" i="4"/>
  <c r="S42" i="4"/>
  <c r="Q42" i="4"/>
  <c r="O42" i="4"/>
  <c r="M42" i="4"/>
  <c r="E42" i="4"/>
  <c r="M39" i="4"/>
  <c r="O39" i="4"/>
  <c r="Q39" i="4"/>
  <c r="S39" i="4"/>
  <c r="U39" i="4"/>
  <c r="W39" i="4"/>
  <c r="Y39" i="4"/>
  <c r="AA39" i="4"/>
  <c r="AC39" i="4"/>
  <c r="AE39" i="4"/>
  <c r="AG39" i="4"/>
  <c r="AI39" i="4"/>
  <c r="AI38" i="4"/>
  <c r="AG38" i="4"/>
  <c r="AC38" i="4"/>
  <c r="AA38" i="4"/>
  <c r="Y38" i="4"/>
  <c r="W38" i="4"/>
  <c r="U38" i="4"/>
  <c r="S38" i="4"/>
  <c r="Q38" i="4"/>
  <c r="O38" i="4"/>
  <c r="M38" i="4"/>
  <c r="E38" i="4"/>
  <c r="M35" i="4"/>
  <c r="O35" i="4"/>
  <c r="Q35" i="4"/>
  <c r="S35" i="4"/>
  <c r="U35" i="4"/>
  <c r="W35" i="4"/>
  <c r="Y35" i="4"/>
  <c r="AA35" i="4"/>
  <c r="AC35" i="4"/>
  <c r="AE35" i="4"/>
  <c r="AG35" i="4"/>
  <c r="AI35" i="4"/>
  <c r="S34" i="4"/>
  <c r="AI34" i="4"/>
  <c r="AG34" i="4"/>
  <c r="AE34" i="4"/>
  <c r="AC34" i="4"/>
  <c r="AA34" i="4"/>
  <c r="Y34" i="4"/>
  <c r="W34" i="4"/>
  <c r="U34" i="4"/>
  <c r="Q34" i="4"/>
  <c r="O34" i="4"/>
  <c r="M34" i="4"/>
  <c r="E34" i="4"/>
  <c r="M31" i="4"/>
  <c r="O31" i="4"/>
  <c r="Q31" i="4"/>
  <c r="S31" i="4"/>
  <c r="U31" i="4"/>
  <c r="W31" i="4"/>
  <c r="Y31" i="4"/>
  <c r="AA31" i="4"/>
  <c r="AC31" i="4"/>
  <c r="AE31" i="4"/>
  <c r="AG31" i="4"/>
  <c r="AI31" i="4"/>
  <c r="AI30" i="4"/>
  <c r="AG30" i="4"/>
  <c r="AE30" i="4"/>
  <c r="AC30" i="4"/>
  <c r="AA30" i="4"/>
  <c r="Y30" i="4"/>
  <c r="W30" i="4"/>
  <c r="U30" i="4"/>
  <c r="S30" i="4"/>
  <c r="Q30" i="4"/>
  <c r="O30" i="4"/>
  <c r="M30" i="4"/>
  <c r="E30" i="4"/>
  <c r="M27" i="4"/>
  <c r="O27" i="4"/>
  <c r="Q27" i="4"/>
  <c r="S27" i="4"/>
  <c r="U27" i="4"/>
  <c r="W27" i="4"/>
  <c r="Y27" i="4"/>
  <c r="AA27" i="4"/>
  <c r="AC27" i="4"/>
  <c r="AE27" i="4"/>
  <c r="AG27" i="4"/>
  <c r="AI27" i="4"/>
  <c r="H44" i="8"/>
  <c r="AI26" i="4"/>
  <c r="AG26" i="4"/>
  <c r="AE26" i="4"/>
  <c r="AC26" i="4"/>
  <c r="AA26" i="4"/>
  <c r="Y26" i="4"/>
  <c r="W26" i="4"/>
  <c r="U26" i="4"/>
  <c r="S26" i="4"/>
  <c r="Q26" i="4"/>
  <c r="O26" i="4"/>
  <c r="M26" i="4"/>
  <c r="E26" i="4"/>
  <c r="M23" i="4"/>
  <c r="O23" i="4"/>
  <c r="Q23" i="4"/>
  <c r="S23" i="4"/>
  <c r="U23" i="4"/>
  <c r="W23" i="4"/>
  <c r="Y23" i="4"/>
  <c r="AA23" i="4"/>
  <c r="AC23" i="4"/>
  <c r="D25" i="8"/>
  <c r="C29" i="8"/>
  <c r="D29" i="8"/>
  <c r="D30" i="8"/>
  <c r="D31" i="8"/>
  <c r="C32" i="8"/>
  <c r="D32" i="8"/>
  <c r="C33" i="8"/>
  <c r="D33" i="8"/>
  <c r="C34" i="8"/>
  <c r="D34" i="8"/>
  <c r="C35" i="8"/>
  <c r="D35" i="8"/>
  <c r="D36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25" i="8"/>
  <c r="AI22" i="4"/>
  <c r="AG22" i="4"/>
  <c r="AE22" i="4"/>
  <c r="AC22" i="4"/>
  <c r="AA22" i="4"/>
  <c r="Y22" i="4"/>
  <c r="W22" i="4"/>
  <c r="U22" i="4"/>
  <c r="S22" i="4"/>
  <c r="Q22" i="4"/>
  <c r="M22" i="4"/>
  <c r="E22" i="4"/>
  <c r="M19" i="4"/>
  <c r="O19" i="4"/>
  <c r="Q19" i="4"/>
  <c r="S19" i="4"/>
  <c r="U19" i="4"/>
  <c r="W19" i="4"/>
  <c r="Y19" i="4"/>
  <c r="AA19" i="4"/>
  <c r="AC19" i="4"/>
  <c r="M15" i="4"/>
  <c r="O15" i="4"/>
  <c r="Q15" i="4"/>
  <c r="S15" i="4"/>
  <c r="U15" i="4"/>
  <c r="W15" i="4"/>
  <c r="Y15" i="4"/>
  <c r="AA15" i="4"/>
  <c r="AC15" i="4"/>
  <c r="M11" i="4"/>
  <c r="O11" i="4"/>
  <c r="Q11" i="4"/>
  <c r="S11" i="4"/>
  <c r="U11" i="4"/>
  <c r="W11" i="4"/>
  <c r="Y11" i="4"/>
  <c r="AA11" i="4"/>
  <c r="AC11" i="4"/>
  <c r="M7" i="4"/>
  <c r="O7" i="4"/>
  <c r="Q7" i="4"/>
  <c r="S7" i="4"/>
  <c r="U7" i="4"/>
  <c r="W7" i="4"/>
  <c r="Y7" i="4"/>
  <c r="AA7" i="4"/>
  <c r="AC7" i="4"/>
  <c r="O3" i="4"/>
  <c r="Q3" i="4"/>
  <c r="S3" i="4"/>
  <c r="U3" i="4"/>
  <c r="C3" i="8"/>
  <c r="D3" i="8"/>
  <c r="C4" i="8"/>
  <c r="D4" i="8"/>
  <c r="D5" i="8"/>
  <c r="C6" i="8"/>
  <c r="D6" i="8"/>
  <c r="D2" i="8"/>
  <c r="C2" i="8"/>
  <c r="E18" i="4"/>
  <c r="E14" i="4"/>
  <c r="E12" i="7"/>
  <c r="S12" i="7"/>
  <c r="Q12" i="7"/>
  <c r="O12" i="7"/>
  <c r="M12" i="7"/>
  <c r="I12" i="7"/>
  <c r="AI18" i="4"/>
  <c r="AG18" i="4"/>
  <c r="AE18" i="4"/>
  <c r="AC18" i="4"/>
  <c r="AA18" i="4"/>
  <c r="Y18" i="4"/>
  <c r="W18" i="4"/>
  <c r="U18" i="4"/>
  <c r="S18" i="4"/>
  <c r="Q18" i="4"/>
  <c r="O18" i="4"/>
  <c r="M18" i="4"/>
  <c r="AI14" i="4"/>
  <c r="AG14" i="4"/>
  <c r="AE14" i="4"/>
  <c r="AC14" i="4"/>
  <c r="AA14" i="4"/>
  <c r="Y14" i="4"/>
  <c r="W14" i="4"/>
  <c r="U14" i="4"/>
  <c r="S14" i="4"/>
  <c r="Q14" i="4"/>
  <c r="O14" i="4"/>
  <c r="M14" i="4"/>
  <c r="AI10" i="4"/>
  <c r="AG10" i="4"/>
  <c r="AE10" i="4"/>
  <c r="AC10" i="4"/>
  <c r="AA10" i="4"/>
  <c r="Y10" i="4"/>
  <c r="W10" i="4"/>
  <c r="U10" i="4"/>
  <c r="S10" i="4"/>
  <c r="Q10" i="4"/>
  <c r="O10" i="4"/>
  <c r="M10" i="4"/>
  <c r="E10" i="4"/>
  <c r="E6" i="4"/>
  <c r="AI6" i="4"/>
  <c r="AG6" i="4"/>
  <c r="AE6" i="4"/>
  <c r="M6" i="4"/>
  <c r="C37" i="8"/>
  <c r="E37" i="8"/>
  <c r="C36" i="8"/>
  <c r="E36" i="8"/>
  <c r="W6" i="4"/>
  <c r="U6" i="4"/>
  <c r="S6" i="4"/>
  <c r="Q5" i="4"/>
  <c r="O5" i="4"/>
  <c r="J7" i="8"/>
  <c r="C45" i="8"/>
  <c r="E25" i="8"/>
  <c r="J43" i="8"/>
  <c r="J42" i="8"/>
  <c r="J41" i="8"/>
  <c r="E34" i="8"/>
  <c r="E26" i="8"/>
  <c r="J26" i="8"/>
  <c r="G92" i="4"/>
  <c r="E40" i="8"/>
  <c r="E39" i="8"/>
  <c r="E38" i="8"/>
  <c r="E35" i="8"/>
  <c r="E33" i="8"/>
  <c r="E32" i="8"/>
  <c r="E29" i="8"/>
  <c r="K92" i="4"/>
  <c r="I92" i="4"/>
  <c r="D27" i="8"/>
  <c r="D44" i="8"/>
  <c r="AE19" i="4"/>
  <c r="AG19" i="4"/>
  <c r="AI19" i="4"/>
  <c r="AE23" i="4"/>
  <c r="AG23" i="4"/>
  <c r="AI23" i="4"/>
  <c r="Q92" i="4"/>
  <c r="O92" i="4"/>
  <c r="E92" i="4"/>
  <c r="C24" i="8"/>
  <c r="E2" i="8"/>
  <c r="I2" i="8"/>
  <c r="E6" i="8"/>
  <c r="J6" i="8"/>
  <c r="E4" i="8"/>
  <c r="J4" i="8"/>
  <c r="E3" i="8"/>
  <c r="J3" i="8"/>
  <c r="J37" i="8"/>
  <c r="I37" i="8"/>
  <c r="J36" i="8"/>
  <c r="I36" i="8"/>
  <c r="D45" i="8"/>
  <c r="J45" i="8"/>
  <c r="C30" i="8"/>
  <c r="E30" i="8"/>
  <c r="C31" i="8"/>
  <c r="E31" i="8"/>
  <c r="AE7" i="4"/>
  <c r="AG7" i="4"/>
  <c r="AI7" i="4"/>
  <c r="AE11" i="4"/>
  <c r="AG11" i="4"/>
  <c r="AI11" i="4"/>
  <c r="AE15" i="4"/>
  <c r="AG15" i="4"/>
  <c r="AI15" i="4"/>
  <c r="C8" i="8"/>
  <c r="J44" i="8"/>
  <c r="E43" i="8"/>
  <c r="I43" i="8"/>
  <c r="E42" i="8"/>
  <c r="I42" i="8"/>
  <c r="E41" i="8"/>
  <c r="I41" i="8"/>
  <c r="W3" i="4"/>
  <c r="Y3" i="4"/>
  <c r="O6" i="4"/>
  <c r="Q6" i="4"/>
  <c r="Y6" i="4"/>
  <c r="AA6" i="4"/>
  <c r="AC6" i="4"/>
  <c r="X23" i="7"/>
  <c r="K12" i="7"/>
  <c r="U12" i="7"/>
  <c r="W12" i="7"/>
  <c r="J2" i="8"/>
  <c r="E27" i="8"/>
  <c r="I27" i="8"/>
  <c r="I26" i="8"/>
  <c r="C44" i="8"/>
  <c r="J27" i="8"/>
  <c r="J31" i="8"/>
  <c r="I31" i="8"/>
  <c r="J29" i="8"/>
  <c r="I29" i="8"/>
  <c r="J32" i="8"/>
  <c r="I32" i="8"/>
  <c r="J33" i="8"/>
  <c r="I33" i="8"/>
  <c r="J35" i="8"/>
  <c r="I35" i="8"/>
  <c r="J40" i="8"/>
  <c r="I40" i="8"/>
  <c r="J38" i="8"/>
  <c r="I38" i="8"/>
  <c r="J25" i="8"/>
  <c r="I25" i="8"/>
  <c r="I3" i="8"/>
  <c r="I4" i="8"/>
  <c r="I6" i="8"/>
  <c r="J39" i="8"/>
  <c r="I39" i="8"/>
  <c r="J34" i="8"/>
  <c r="I34" i="8"/>
  <c r="D8" i="8"/>
  <c r="D11" i="8"/>
  <c r="AA3" i="4"/>
  <c r="AC3" i="4"/>
  <c r="AE3" i="4"/>
  <c r="E45" i="8"/>
  <c r="I45" i="8"/>
  <c r="E44" i="8"/>
  <c r="I44" i="8"/>
  <c r="E8" i="8"/>
  <c r="J30" i="8"/>
  <c r="I30" i="8"/>
  <c r="J8" i="8"/>
  <c r="I8" i="8"/>
  <c r="D9" i="8"/>
  <c r="Y12" i="7"/>
  <c r="AA12" i="7"/>
  <c r="D10" i="8"/>
  <c r="AC12" i="7"/>
  <c r="AE12" i="7"/>
  <c r="C16" i="8"/>
  <c r="AG3" i="4"/>
  <c r="AI3" i="4"/>
  <c r="D16" i="8"/>
  <c r="E16" i="8"/>
  <c r="J16" i="8"/>
  <c r="C17" i="8"/>
  <c r="I16" i="8"/>
  <c r="D17" i="8"/>
  <c r="E17" i="8"/>
  <c r="C18" i="8"/>
  <c r="J17" i="8"/>
  <c r="I17" i="8"/>
  <c r="D18" i="8"/>
  <c r="E18" i="8"/>
  <c r="J18" i="8"/>
  <c r="C19" i="8"/>
  <c r="I18" i="8"/>
  <c r="D19" i="8"/>
  <c r="E19" i="8"/>
  <c r="J19" i="8"/>
  <c r="C20" i="8"/>
  <c r="I19" i="8"/>
  <c r="D20" i="8"/>
  <c r="E20" i="8"/>
  <c r="C21" i="8"/>
  <c r="J20" i="8"/>
  <c r="I20" i="8"/>
  <c r="D21" i="8"/>
  <c r="E21" i="8"/>
  <c r="J21" i="8"/>
  <c r="C22" i="8"/>
  <c r="I21" i="8"/>
  <c r="D22" i="8"/>
  <c r="E22" i="8"/>
  <c r="D24" i="8"/>
  <c r="J22" i="8"/>
  <c r="I22" i="8"/>
  <c r="AE11" i="7" l="1"/>
  <c r="AC11" i="7"/>
  <c r="AA11" i="7"/>
  <c r="Y11" i="7"/>
  <c r="K23" i="7"/>
  <c r="K11" i="7"/>
  <c r="U23" i="7"/>
  <c r="U11" i="7"/>
  <c r="W23" i="7"/>
  <c r="W11" i="7"/>
  <c r="S23" i="7"/>
  <c r="S11" i="7"/>
  <c r="AG5" i="7"/>
  <c r="AH6" i="7" s="1"/>
  <c r="AG11" i="7"/>
  <c r="W22" i="7"/>
  <c r="Y23" i="7"/>
  <c r="AF6" i="7"/>
  <c r="AC5" i="7"/>
  <c r="AD6" i="7" s="1"/>
  <c r="AA5" i="7"/>
  <c r="AB6" i="7" s="1"/>
  <c r="Y5" i="7"/>
  <c r="Z6" i="7" s="1"/>
  <c r="L6" i="7"/>
  <c r="U5" i="7"/>
  <c r="V6" i="7" s="1"/>
  <c r="W5" i="7"/>
  <c r="X6" i="7" s="1"/>
  <c r="T6" i="7"/>
  <c r="I24" i="7"/>
  <c r="W6" i="11"/>
  <c r="Y5" i="11"/>
  <c r="Z5" i="11" s="1"/>
  <c r="E9" i="11"/>
  <c r="G9" i="11"/>
  <c r="I9" i="11"/>
  <c r="K9" i="11"/>
  <c r="M9" i="11"/>
  <c r="O9" i="11"/>
  <c r="Q9" i="11"/>
  <c r="S9" i="11"/>
  <c r="U9" i="11"/>
  <c r="W9" i="11"/>
  <c r="Y9" i="11"/>
  <c r="AA9" i="11"/>
  <c r="AC9" i="11"/>
  <c r="AE9" i="11"/>
  <c r="AG9" i="11"/>
  <c r="AI9" i="11"/>
  <c r="AK9" i="11"/>
  <c r="AM9" i="11"/>
  <c r="AO9" i="11"/>
  <c r="AQ9" i="11"/>
  <c r="AS9" i="11"/>
  <c r="AI10" i="7" l="1"/>
  <c r="AI23" i="7" s="1" a="1"/>
  <c r="AI23" i="7" s="1"/>
  <c r="AG12" i="7"/>
  <c r="Z23" i="7"/>
  <c r="D12" i="8" s="1"/>
  <c r="Y15" i="7"/>
  <c r="Z16" i="7" s="1"/>
  <c r="S24" i="7"/>
  <c r="C9" i="8"/>
  <c r="E9" i="8" s="1"/>
  <c r="C11" i="8"/>
  <c r="E11" i="8" s="1"/>
  <c r="W24" i="7"/>
  <c r="U24" i="7"/>
  <c r="C10" i="8"/>
  <c r="E10" i="8" s="1"/>
  <c r="K24" i="7"/>
  <c r="C5" i="8"/>
  <c r="C12" i="8"/>
  <c r="E12" i="8" s="1"/>
  <c r="Y24" i="7"/>
  <c r="Y6" i="11"/>
  <c r="AA5" i="11"/>
  <c r="AB5" i="11" s="1"/>
  <c r="Y22" i="7" l="1"/>
  <c r="AA23" i="7"/>
  <c r="C13" i="8" s="1"/>
  <c r="J12" i="8"/>
  <c r="I12" i="8"/>
  <c r="E5" i="8"/>
  <c r="J10" i="8"/>
  <c r="I10" i="8"/>
  <c r="J11" i="8"/>
  <c r="I11" i="8"/>
  <c r="J9" i="8"/>
  <c r="I9" i="8"/>
  <c r="AA6" i="11"/>
  <c r="AC5" i="11"/>
  <c r="AD5" i="11" s="1"/>
  <c r="AB23" i="7" l="1"/>
  <c r="AA15" i="7"/>
  <c r="AB16" i="7" s="1"/>
  <c r="J5" i="8"/>
  <c r="I5" i="8"/>
  <c r="AC6" i="11"/>
  <c r="AE5" i="11"/>
  <c r="AF5" i="11" s="1"/>
  <c r="D13" i="8" l="1"/>
  <c r="AA24" i="7"/>
  <c r="AA22" i="7"/>
  <c r="AC23" i="7"/>
  <c r="C14" i="8" s="1"/>
  <c r="AE6" i="11"/>
  <c r="AG5" i="11"/>
  <c r="AH5" i="11" s="1"/>
  <c r="E13" i="8" l="1"/>
  <c r="AD23" i="7"/>
  <c r="AC15" i="7"/>
  <c r="AD16" i="7" s="1"/>
  <c r="AG6" i="11"/>
  <c r="AI5" i="11"/>
  <c r="AJ5" i="11" s="1"/>
  <c r="D14" i="8" l="1"/>
  <c r="AC24" i="7"/>
  <c r="J13" i="8"/>
  <c r="I13" i="8"/>
  <c r="AC22" i="7"/>
  <c r="AE23" i="7"/>
  <c r="C15" i="8" s="1"/>
  <c r="AI6" i="11"/>
  <c r="AK5" i="11"/>
  <c r="AL5" i="11" s="1"/>
  <c r="C23" i="8" l="1"/>
  <c r="E14" i="8"/>
  <c r="AF16" i="7"/>
  <c r="AK6" i="11"/>
  <c r="AM5" i="11"/>
  <c r="AN5" i="11" s="1"/>
  <c r="AF23" i="7" l="1"/>
  <c r="AE24" i="7"/>
  <c r="D15" i="8"/>
  <c r="J14" i="8"/>
  <c r="I14" i="8"/>
  <c r="AE22" i="7"/>
  <c r="AM6" i="11"/>
  <c r="AO5" i="11"/>
  <c r="AP5" i="11" s="1"/>
  <c r="AG15" i="7" l="1"/>
  <c r="AH16" i="7" s="1"/>
  <c r="AG23" i="7"/>
  <c r="E15" i="8"/>
  <c r="D23" i="8"/>
  <c r="AO6" i="11"/>
  <c r="AQ5" i="11"/>
  <c r="AR5" i="11" s="1"/>
  <c r="AG22" i="7" l="1"/>
  <c r="AI20" i="7"/>
  <c r="AH23" i="7"/>
  <c r="AG24" i="7" s="1"/>
  <c r="E24" i="8"/>
  <c r="E23" i="8"/>
  <c r="J15" i="8"/>
  <c r="I15" i="8"/>
  <c r="AQ6" i="11"/>
  <c r="AS5" i="11"/>
  <c r="AT5" i="11" s="1"/>
  <c r="J23" i="8" l="1"/>
  <c r="I23" i="8"/>
  <c r="J24" i="8"/>
  <c r="I24" i="8"/>
  <c r="AS6" i="11"/>
  <c r="AU5" i="11"/>
  <c r="AU8" i="11" s="1" a="1"/>
  <c r="AU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tc={FF41C0DF-713A-49B1-9AB3-F24EE62B964A}</author>
    <author>tc={1132D0D9-F023-481C-9365-F26581D93959}</author>
  </authors>
  <commentList>
    <comment ref="Y4" authorId="0" shapeId="0" xr:uid="{FF41C0DF-713A-49B1-9AB3-F24EE62B964A}">
      <text>
        <t>[Threaded comment]
Your version of Excel allows you to read this threaded comment; however, any edits to it will get removed if the file is opened in a newer version of Excel. Learn more: https://go.microsoft.com/fwlink/?linkid=870924
Comment:
    Burn-in machines issue</t>
      </text>
    </comment>
    <comment ref="P5" authorId="1" shapeId="0" xr:uid="{1132D0D9-F023-481C-9365-F26581D93959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 repairs: 
S147244700032
S147244700032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tc={6271DCCA-3E64-455F-8A16-467D677C6B77}</author>
    <author>tc={B4F3B302-9DA0-4709-A2DE-ABAFC7409F9A}</author>
    <author>tc={FE5BA4E2-5751-4FC0-91AD-C0E21F98FD93}</author>
    <author>tc={AF3DD883-8BEA-41DD-8D27-5620C89F6E63}</author>
    <author>tc={D9C57115-B409-4D45-BD1C-6164DA5907BA}</author>
    <author>tc={4D9B07B1-F436-4E6F-AE78-A9A60D1F14C8}</author>
    <author>tc={7A032BC8-50E9-4961-8540-291D596F50E4}</author>
    <author>tc={472A0B04-9A45-42D7-9BF2-DBEFC288B7E7}</author>
    <author>tc={0336801E-EB62-4050-8FE8-702DF50CD364}</author>
    <author>tc={76C0D444-5EAA-4533-A930-A2237B19A196}</author>
    <author>tc={47354F6C-2FF5-4D51-8D99-81B1D04C582F}</author>
    <author>tc={6575177C-758D-4667-8BEF-5B1C21236B10}</author>
    <author>tc={BEF302BB-E52E-4261-A162-86A44D1061DF}</author>
    <author>tc={F737AD61-D670-4615-B82C-BBA0615C0237}</author>
    <author>tc={C766D2C8-C010-4B42-8FC6-5D9F08AC6329}</author>
    <author>tc={8EA71AEF-5CEB-4B86-ACED-158EEC866607}</author>
    <author>tc={9075D7A3-92D8-4C6D-8F07-E93AD078DF67}</author>
    <author>tc={593EAF8F-3561-4E89-8EC9-3CAFF564B429}</author>
    <author>tc={B0F62E1E-AF42-417B-868C-05120EFC8615}</author>
    <author>tc={A53724E3-9670-43F6-B0D7-E871F9AD7AF1}</author>
    <author>tc={A2614F67-071E-41CE-879B-2E7E37D96F97}</author>
    <author>tc={123ADA87-7D1D-41CE-A5DE-EF289A4F7657}</author>
    <author>tc={715B910E-0AF4-4AE9-BE41-AF54EB058340}</author>
    <author>tc={F0633070-C05F-4998-A452-F8040E37087D}</author>
    <author>tc={FF4D3B80-2192-4C65-A66F-26038614A970}</author>
    <author>tc={D56CB75E-1900-408E-8206-BB202A7C68D2}</author>
    <author>tc={CF75C4A2-264D-4908-A4C5-09D7BA6969B4}</author>
    <author>tc={567DC2CF-AC2E-40D7-9894-026B7A1404D2}</author>
    <author>tc={918B0071-109D-4675-860D-1A247B0E0526}</author>
    <author>tc={92AA9BAB-2C0C-4282-837C-5C9EFC732FEF}</author>
    <author>tc={D15029C8-D134-47F9-A170-4C28DBC62E45}</author>
    <author>tc={C0660A6A-F9E7-4D61-AB33-53887584AF09}</author>
    <author>tc={A82BE80F-F3B6-49D5-9B90-2499FA72A5BA}</author>
    <author>tc={4E413790-12EC-4C79-988F-066452670748}</author>
    <author>tc={F2E24C57-E04E-4632-B501-75DD450AC363}</author>
    <author>tc={8BDE9958-EF15-466D-AFEA-8F8E037163EE}</author>
    <author>tc={BE0BB589-3E20-4773-9400-F60F632DAB36}</author>
    <author>tc={D490C5F3-EF63-4EAD-B02A-18703FBBDADA}</author>
    <author>tc={532860E1-5725-4282-8E96-79914FD7E70D}</author>
    <author>tc={ACD1E2AB-DA9B-4B7A-B6E0-C6B147A7C281}</author>
    <author>tc={3E7DC85B-EF1C-45EC-8D5E-E535ED63376A}</author>
    <author>tc={44B34B46-388C-463D-8EFC-2C2C0B491B10}</author>
    <author>tc={85E9D22F-9387-4E98-84C3-9C8A04D007B5}</author>
  </authors>
  <commentList>
    <comment ref="X5" authorId="0" shapeId="0" xr:uid="{6271DCCA-3E64-455F-8A16-467D677C6B77}">
      <text>
        <t>[Threaded comment]
Your version of Excel allows you to read this threaded comment; however, any edits to it will get removed if the file is opened in a newer version of Excel. Learn more: https://go.microsoft.com/fwlink/?linkid=870924
Comment:
    3 fails
9067260100001
9067260100002
9067260100008
Reply:
    scrapped</t>
      </text>
    </comment>
    <comment ref="AD5" authorId="1" shapeId="0" xr:uid="{B4F3B302-9DA0-4709-A2DE-ABAFC7409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repair: 
9067260100003</t>
      </text>
    </comment>
    <comment ref="AH5" authorId="2" shapeId="0" xr:uid="{FE5BA4E2-5751-4FC0-91AD-C0E21F98FD93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 repair: 9067260100012</t>
      </text>
    </comment>
    <comment ref="X9" authorId="3" shapeId="0" xr:uid="{AF3DD883-8BEA-41DD-8D27-5620C89F6E63}">
      <text>
        <t>[Threaded comment]
Your version of Excel allows you to read this threaded comment; however, any edits to it will get removed if the file is opened in a newer version of Excel. Learn more: https://go.microsoft.com/fwlink/?linkid=870924
Comment:
    2 fails
9068260100012 
9068260100015
Reply:
    scrapped</t>
      </text>
    </comment>
    <comment ref="AH9" authorId="4" shapeId="0" xr:uid="{D9C57115-B409-4D45-BD1C-6164DA5907BA}">
      <text>
        <t>[Threaded comment]
Your version of Excel allows you to read this threaded comment; however, any edits to it will get removed if the file is opened in a newer version of Excel. Learn more: https://go.microsoft.com/fwlink/?linkid=870924
Comment:
    1 wip
3 fails
9068260100005
9068260100006
9068260100010</t>
      </text>
    </comment>
    <comment ref="X13" authorId="5" shapeId="0" xr:uid="{4D9B07B1-F436-4E6F-AE78-A9A60D1F14C8}">
      <text>
        <t>[Threaded comment]
Your version of Excel allows you to read this threaded comment; however, any edits to it will get removed if the file is opened in a newer version of Excel. Learn more: https://go.microsoft.com/fwlink/?linkid=870924
Comment:
    3 fails
9169260200001
9169260200007
9169260200014
Reply:
    scrapped</t>
      </text>
    </comment>
    <comment ref="AB13" authorId="6" shapeId="0" xr:uid="{7A032BC8-50E9-4961-8540-291D596F50E4}">
      <text>
        <t>[Threaded comment]
Your version of Excel allows you to read this threaded comment; however, any edits to it will get removed if the file is opened in a newer version of Excel. Learn more: https://go.microsoft.com/fwlink/?linkid=870924
Comment:
    1 repair: 
9169260200003</t>
      </text>
    </comment>
    <comment ref="AH13" authorId="7" shapeId="0" xr:uid="{472A0B04-9A45-42D7-9BF2-DBEFC288B7E7}">
      <text>
        <t>[Threaded comment]
Your version of Excel allows you to read this threaded comment; however, any edits to it will get removed if the file is opened in a newer version of Excel. Learn more: https://go.microsoft.com/fwlink/?linkid=870924
Comment:
    2 wip
1 fails
9169260200012</t>
      </text>
    </comment>
    <comment ref="J17" authorId="8" shapeId="0" xr:uid="{0336801E-EB62-4050-8FE8-702DF50CD364}">
      <text>
        <t>[Threaded comment]
Your version of Excel allows you to read this threaded comment; however, any edits to it will get removed if the file is opened in a newer version of Excel. Learn more: https://go.microsoft.com/fwlink/?linkid=870924
Comment:
    scrapped</t>
      </text>
    </comment>
    <comment ref="P17" authorId="9" shapeId="0" xr:uid="{76C0D444-5EAA-4533-A930-A2237B19A196}">
      <text>
        <t>[Threaded comment]
Your version of Excel allows you to read this threaded comment; however, any edits to it will get removed if the file is opened in a newer version of Excel. Learn more: https://go.microsoft.com/fwlink/?linkid=870924
Comment:
    4 wip
Reply:
    scrapped</t>
      </text>
    </comment>
    <comment ref="X17" authorId="10" shapeId="0" xr:uid="{47354F6C-2FF5-4D51-8D99-81B1D04C582F}">
      <text>
        <t>[Threaded comment]
Your version of Excel allows you to read this threaded comment; however, any edits to it will get removed if the file is opened in a newer version of Excel. Learn more: https://go.microsoft.com/fwlink/?linkid=870924
Comment:
    3 fail
9170260200001
9170260200004
9170260200007
Reply:
    scrapped</t>
      </text>
    </comment>
    <comment ref="AH17" authorId="11" shapeId="0" xr:uid="{6575177C-758D-4667-8BEF-5B1C21236B10}">
      <text>
        <t>[Threaded comment]
Your version of Excel allows you to read this threaded comment; however, any edits to it will get removed if the file is opened in a newer version of Excel. Learn more: https://go.microsoft.com/fwlink/?linkid=870924
Comment:
    1 wip
1 fail
9170260200008</t>
      </text>
    </comment>
    <comment ref="J21" authorId="12" shapeId="0" xr:uid="{BEF302BB-E52E-4261-A162-86A44D1061DF}">
      <text>
        <t>[Threaded comment]
Your version of Excel allows you to read this threaded comment; however, any edits to it will get removed if the file is opened in a newer version of Excel. Learn more: https://go.microsoft.com/fwlink/?linkid=870924
Comment:
    4 scrapped</t>
      </text>
    </comment>
    <comment ref="X21" authorId="13" shapeId="0" xr:uid="{F737AD61-D670-4615-B82C-BBA0615C0237}">
      <text>
        <t>[Threaded comment]
Your version of Excel allows you to read this threaded comment; however, any edits to it will get removed if the file is opened in a newer version of Excel. Learn more: https://go.microsoft.com/fwlink/?linkid=870924
Comment:
    5 scrapped</t>
      </text>
    </comment>
    <comment ref="AB21" authorId="14" shapeId="0" xr:uid="{C766D2C8-C010-4B42-8FC6-5D9F08AC6329}">
      <text>
        <t>[Threaded comment]
Your version of Excel allows you to read this threaded comment; however, any edits to it will get removed if the file is opened in a newer version of Excel. Learn more: https://go.microsoft.com/fwlink/?linkid=870924
Comment:
    1 repair: 9430260200027</t>
      </text>
    </comment>
    <comment ref="J25" authorId="15" shapeId="0" xr:uid="{8EA71AEF-5CEB-4B86-ACED-158EEC866607}">
      <text>
        <t>[Threaded comment]
Your version of Excel allows you to read this threaded comment; however, any edits to it will get removed if the file is opened in a newer version of Excel. Learn more: https://go.microsoft.com/fwlink/?linkid=870924
Comment:
    scrapped</t>
      </text>
    </comment>
    <comment ref="T25" authorId="16" shapeId="0" xr:uid="{9075D7A3-92D8-4C6D-8F07-E93AD078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1 scrapped</t>
      </text>
    </comment>
    <comment ref="X25" authorId="17" shapeId="0" xr:uid="{593EAF8F-3561-4E89-8EC9-3CAFF564B429}">
      <text>
        <t>[Threaded comment]
Your version of Excel allows you to read this threaded comment; however, any edits to it will get removed if the file is opened in a newer version of Excel. Learn more: https://go.microsoft.com/fwlink/?linkid=870924
Comment:
    12 scrapped</t>
      </text>
    </comment>
    <comment ref="AF25" authorId="18" shapeId="0" xr:uid="{B0F62E1E-AF42-417B-868C-05120EFC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5 wip @ asbl 2</t>
      </text>
    </comment>
    <comment ref="J29" authorId="19" shapeId="0" xr:uid="{A53724E3-9670-43F6-B0D7-E871F9AD7AF1}">
      <text>
        <t>[Threaded comment]
Your version of Excel allows you to read this threaded comment; however, any edits to it will get removed if the file is opened in a newer version of Excel. Learn more: https://go.microsoft.com/fwlink/?linkid=870924
Comment:
    scrapped</t>
      </text>
    </comment>
    <comment ref="X29" authorId="20" shapeId="0" xr:uid="{A2614F67-071E-41CE-879B-2E7E37D96F97}">
      <text>
        <t>[Threaded comment]
Your version of Excel allows you to read this threaded comment; however, any edits to it will get removed if the file is opened in a newer version of Excel. Learn more: https://go.microsoft.com/fwlink/?linkid=870924
Comment:
    8 scrapped</t>
      </text>
    </comment>
    <comment ref="AB29" authorId="21" shapeId="0" xr:uid="{123ADA87-7D1D-41CE-A5DE-EF289A4F76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</t>
      </text>
    </comment>
    <comment ref="J33" authorId="22" shapeId="0" xr:uid="{715B910E-0AF4-4AE9-BE41-AF54EB05834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scrapped</t>
      </text>
    </comment>
    <comment ref="T33" authorId="23" shapeId="0" xr:uid="{F0633070-C05F-4998-A452-F8040E37087D}">
      <text>
        <t>[Threaded comment]
Your version of Excel allows you to read this threaded comment; however, any edits to it will get removed if the file is opened in a newer version of Excel. Learn more: https://go.microsoft.com/fwlink/?linkid=870924
Comment:
    2 scrapped</t>
      </text>
    </comment>
    <comment ref="X33" authorId="24" shapeId="0" xr:uid="{FF4D3B80-2192-4C65-A66F-26038614A970}">
      <text>
        <t>[Threaded comment]
Your version of Excel allows you to read this threaded comment; however, any edits to it will get removed if the file is opened in a newer version of Excel. Learn more: https://go.microsoft.com/fwlink/?linkid=870924
Comment:
    6 scrapped</t>
      </text>
    </comment>
    <comment ref="Z33" authorId="25" shapeId="0" xr:uid="{D56CB75E-1900-408E-8206-BB202A7C68D2}">
      <text>
        <t>[Threaded comment]
Your version of Excel allows you to read this threaded comment; however, any edits to it will get removed if the file is opened in a newer version of Excel. Learn more: https://go.microsoft.com/fwlink/?linkid=870924
Comment:
    1 wip 2 repairs</t>
      </text>
    </comment>
    <comment ref="AB33" authorId="26" shapeId="0" xr:uid="{CF75C4A2-264D-4908-A4C5-09D7BA6969B4}">
      <text>
        <t>[Threaded comment]
Your version of Excel allows you to read this threaded comment; however, any edits to it will get removed if the file is opened in a newer version of Excel. Learn more: https://go.microsoft.com/fwlink/?linkid=870924
Comment:
    1 repair</t>
      </text>
    </comment>
    <comment ref="X37" authorId="27" shapeId="0" xr:uid="{567DC2CF-AC2E-40D7-9894-026B7A1404D2}">
      <text>
        <t>[Threaded comment]
Your version of Excel allows you to read this threaded comment; however, any edits to it will get removed if the file is opened in a newer version of Excel. Learn more: https://go.microsoft.com/fwlink/?linkid=870924
Comment:
    11 scrapped</t>
      </text>
    </comment>
    <comment ref="Z37" authorId="28" shapeId="0" xr:uid="{918B0071-109D-4675-860D-1A247B0E0526}">
      <text>
        <t>[Threaded comment]
Your version of Excel allows you to read this threaded comment; however, any edits to it will get removed if the file is opened in a newer version of Excel. Learn more: https://go.microsoft.com/fwlink/?linkid=870924
Comment:
    2 repairs</t>
      </text>
    </comment>
    <comment ref="X41" authorId="29" shapeId="0" xr:uid="{92AA9BAB-2C0C-4282-837C-5C9EFC732FEF}">
      <text>
        <t>[Threaded comment]
Your version of Excel allows you to read this threaded comment; however, any edits to it will get removed if the file is opened in a newer version of Excel. Learn more: https://go.microsoft.com/fwlink/?linkid=870924
Comment:
    2 scrapped</t>
      </text>
    </comment>
    <comment ref="Z41" authorId="30" shapeId="0" xr:uid="{D15029C8-D134-47F9-A170-4C28DBC62E45}">
      <text>
        <t>[Threaded comment]
Your version of Excel allows you to read this threaded comment; however, any edits to it will get removed if the file is opened in a newer version of Excel. Learn more: https://go.microsoft.com/fwlink/?linkid=870924
Comment:
    2 repairs</t>
      </text>
    </comment>
    <comment ref="X45" authorId="31" shapeId="0" xr:uid="{C0660A6A-F9E7-4D61-AB33-53887584AF0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scrapped</t>
      </text>
    </comment>
    <comment ref="AH45" authorId="32" shapeId="0" xr:uid="{A82BE80F-F3B6-49D5-9B90-2499FA72A5BA}">
      <text>
        <t>[Threaded comment]
Your version of Excel allows you to read this threaded comment; however, any edits to it will get removed if the file is opened in a newer version of Excel. Learn more: https://go.microsoft.com/fwlink/?linkid=870924
Comment:
    1 repair</t>
      </text>
    </comment>
    <comment ref="X49" authorId="33" shapeId="0" xr:uid="{4E413790-12EC-4C79-988F-066452670748}">
      <text>
        <t>[Threaded comment]
Your version of Excel allows you to read this threaded comment; however, any edits to it will get removed if the file is opened in a newer version of Excel. Learn more: https://go.microsoft.com/fwlink/?linkid=870924
Comment:
    4 repairs</t>
      </text>
    </comment>
    <comment ref="AH49" authorId="34" shapeId="0" xr:uid="{F2E24C57-E04E-4632-B501-75DD450AC363}">
      <text>
        <t>[Threaded comment]
Your version of Excel allows you to read this threaded comment; however, any edits to it will get removed if the file is opened in a newer version of Excel. Learn more: https://go.microsoft.com/fwlink/?linkid=870924
Comment:
    1 repair</t>
      </text>
    </comment>
    <comment ref="X53" authorId="35" shapeId="0" xr:uid="{8BDE9958-EF15-466D-AFEA-8F8E037163EE}">
      <text>
        <t>[Threaded comment]
Your version of Excel allows you to read this threaded comment; however, any edits to it will get removed if the file is opened in a newer version of Excel. Learn more: https://go.microsoft.com/fwlink/?linkid=870924
Comment:
    6 repairs</t>
      </text>
    </comment>
    <comment ref="AH53" authorId="36" shapeId="0" xr:uid="{BE0BB589-3E20-4773-9400-F60F632DAB36}">
      <text>
        <t>[Threaded comment]
Your version of Excel allows you to read this threaded comment; however, any edits to it will get removed if the file is opened in a newer version of Excel. Learn more: https://go.microsoft.com/fwlink/?linkid=870924
Comment:
    2 repairs</t>
      </text>
    </comment>
    <comment ref="X57" authorId="37" shapeId="0" xr:uid="{D490C5F3-EF63-4EAD-B02A-18703FBBDA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</t>
      </text>
    </comment>
    <comment ref="AH57" authorId="38" shapeId="0" xr:uid="{532860E1-5725-4282-8E96-79914FD7E7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</t>
      </text>
    </comment>
    <comment ref="J61" authorId="39" shapeId="0" xr:uid="{ACD1E2AB-DA9B-4B7A-B6E0-C6B147A7C281}">
      <text>
        <t>[Threaded comment]
Your version of Excel allows you to read this threaded comment; however, any edits to it will get removed if the file is opened in a newer version of Excel. Learn more: https://go.microsoft.com/fwlink/?linkid=870924
Comment:
    scrapped 3</t>
      </text>
    </comment>
    <comment ref="AH65" authorId="40" shapeId="0" xr:uid="{3E7DC85B-EF1C-45EC-8D5E-E535ED63376A}">
      <text>
        <t>[Threaded comment]
Your version of Excel allows you to read this threaded comment; however, any edits to it will get removed if the file is opened in a newer version of Excel. Learn more: https://go.microsoft.com/fwlink/?linkid=870924
Comment:
    2 repairs: 
0206260300001
0206260300005</t>
      </text>
    </comment>
    <comment ref="AH73" authorId="41" shapeId="0" xr:uid="{44B34B46-388C-463D-8EFC-2C2C0B491B10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repairs:
0413260300003
0413260300007
0413260300009
0413260300011
0413260300012</t>
      </text>
    </comment>
    <comment ref="AH81" authorId="42" shapeId="0" xr:uid="{85E9D22F-9387-4E98-84C3-9C8A04D0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2 repairs: 
0602260300004
0602260300008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tc={D207DF5E-A8BA-4AEA-9195-1ED214EDE470}</author>
    <author>tc={BE93DF26-B964-47DB-A724-B6B5FE4628F5}</author>
    <author>tc={CBF3933B-3809-43BC-9ACE-4B46484DD566}</author>
    <author>tc={68D7051C-247C-4EBB-97CB-2E117266985B}</author>
    <author>tc={53BC4063-873E-48B0-863D-B5D3F37EA0B5}</author>
    <author>tc={57EEE00C-97D1-4B91-A82C-3CBB154FEF2A}</author>
    <author>tc={0269FFB4-94C8-4DDA-8B40-C904CA7CFFF4}</author>
    <author>tc={D8EB710E-F62C-41B3-9378-EA2CDC785B36}</author>
  </authors>
  <commentList>
    <comment ref="R5" authorId="0" shapeId="0" xr:uid="{D207DF5E-A8BA-4AEA-9195-1ED214EDE470}">
      <text>
        <t>[Threaded comment]
Your version of Excel allows you to read this threaded comment; however, any edits to it will get removed if the file is opened in a newer version of Excel. Learn more: https://go.microsoft.com/fwlink/?linkid=870924
Comment:
    3 fails
9067260100001
9067260100002
9067260100008</t>
      </text>
    </comment>
    <comment ref="X5" authorId="1" shapeId="0" xr:uid="{BE93DF26-B964-47DB-A724-B6B5FE4628F5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 repair: 9067260100012</t>
      </text>
    </comment>
    <comment ref="R9" authorId="2" shapeId="0" xr:uid="{CBF3933B-3809-43BC-9ACE-4B46484DD566}">
      <text>
        <t>[Threaded comment]
Your version of Excel allows you to read this threaded comment; however, any edits to it will get removed if the file is opened in a newer version of Excel. Learn more: https://go.microsoft.com/fwlink/?linkid=870924
Comment:
    3 fails
9067260100001
9067260100002
9067260100008</t>
      </text>
    </comment>
    <comment ref="X9" authorId="3" shapeId="0" xr:uid="{68D7051C-247C-4EBB-97CB-2E117266985B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 repair: 9067260100012</t>
      </text>
    </comment>
    <comment ref="R13" authorId="4" shapeId="0" xr:uid="{53BC4063-873E-48B0-863D-B5D3F37EA0B5}">
      <text>
        <t>[Threaded comment]
Your version of Excel allows you to read this threaded comment; however, any edits to it will get removed if the file is opened in a newer version of Excel. Learn more: https://go.microsoft.com/fwlink/?linkid=870924
Comment:
    3 fails
9067260100001
9067260100002
9067260100008</t>
      </text>
    </comment>
    <comment ref="X13" authorId="5" shapeId="0" xr:uid="{57EEE00C-97D1-4B91-A82C-3CBB154FEF2A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 repair: 9067260100012</t>
      </text>
    </comment>
    <comment ref="R17" authorId="6" shapeId="0" xr:uid="{0269FFB4-94C8-4DDA-8B40-C904CA7CFFF4}">
      <text>
        <t>[Threaded comment]
Your version of Excel allows you to read this threaded comment; however, any edits to it will get removed if the file is opened in a newer version of Excel. Learn more: https://go.microsoft.com/fwlink/?linkid=870924
Comment:
    3 fails
9067260100001
9067260100002
9067260100008</t>
      </text>
    </comment>
    <comment ref="X17" authorId="7" shapeId="0" xr:uid="{D8EB710E-F62C-41B3-9378-EA2CDC785B36}">
      <text>
        <t>[Threaded comment]
Your version of Excel allows you to read this threaded comment; however, any edits to it will get removed if the file is opened in a newer version of Excel. Learn more: https://go.microsoft.com/fwlink/?linkid=870924
Comment:
    1 in repair: 9067260100012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<sst xmlns="http://schemas.openxmlformats.org/spreadsheetml/2006/main" count="290" uniqueCount="95">
  <si>
    <t>WIP</t>
  </si>
  <si>
    <t>Fail</t>
  </si>
  <si>
    <t>COB</t>
  </si>
  <si>
    <t>WO</t>
  </si>
  <si>
    <t>Qty In</t>
  </si>
  <si>
    <t>Note</t>
  </si>
  <si>
    <t>Fill Target Start Time, Input/Output, Machine Used, Actual Start/End, and Fail ONLY</t>
  </si>
  <si>
    <t>RX DB</t>
  </si>
  <si>
    <t>RX Baking</t>
  </si>
  <si>
    <t>FSI DB</t>
  </si>
  <si>
    <t>FSI Baking</t>
  </si>
  <si>
    <t>TX-COS DB</t>
  </si>
  <si>
    <t>Die Visual Inspection</t>
  </si>
  <si>
    <t>Dimension Test</t>
  </si>
  <si>
    <t>TX-COS Baking</t>
  </si>
  <si>
    <t>COB WB</t>
  </si>
  <si>
    <t>Die/Wire Inspection</t>
  </si>
  <si>
    <t>Die/Wire Visual Inspection</t>
  </si>
  <si>
    <t>TX Lens Coupling</t>
  </si>
  <si>
    <t>COB Black Glue Fixing</t>
  </si>
  <si>
    <t>COB Black Glue Baking</t>
  </si>
  <si>
    <t>COB Visual Inspection</t>
  </si>
  <si>
    <t>Yield</t>
  </si>
  <si>
    <t>NA</t>
  </si>
  <si>
    <t>Target UPH</t>
  </si>
  <si>
    <t># Machine Used</t>
  </si>
  <si>
    <t>Expected Work Hours</t>
  </si>
  <si>
    <t>Target Start/End</t>
  </si>
  <si>
    <t>Actual Start/End</t>
  </si>
  <si>
    <t>Actual Work Hours</t>
  </si>
  <si>
    <t>Actual UPH</t>
  </si>
  <si>
    <t>WO InputOut</t>
  </si>
  <si>
    <t>WIP / Fail</t>
  </si>
  <si>
    <t>WO In/Out</t>
  </si>
  <si>
    <t>Yield by Station</t>
  </si>
  <si>
    <t>Input/Output All WOs</t>
  </si>
  <si>
    <t>Yield by Station All WOs</t>
  </si>
  <si>
    <t>100G</t>
  </si>
  <si>
    <t>200G</t>
  </si>
  <si>
    <t>400G</t>
  </si>
  <si>
    <t>Target Date</t>
  </si>
  <si>
    <t>Actual Date</t>
  </si>
  <si>
    <t>AOC</t>
  </si>
  <si>
    <t>Start Runcard</t>
  </si>
  <si>
    <t>AOC Assembly All 1</t>
  </si>
  <si>
    <t>AOC Assembly All 2</t>
  </si>
  <si>
    <t>AOC Assembly All 3</t>
  </si>
  <si>
    <t>AOC Assembly 1</t>
  </si>
  <si>
    <t>AOC Assembly 2</t>
  </si>
  <si>
    <t>AOC Assembly 3</t>
  </si>
  <si>
    <t>AOC Baking</t>
  </si>
  <si>
    <t>AOC 20TC</t>
  </si>
  <si>
    <t>AOC Post Test</t>
  </si>
  <si>
    <t>TCBer Test</t>
  </si>
  <si>
    <t>Symbol Error Test</t>
  </si>
  <si>
    <t>ATS Test</t>
  </si>
  <si>
    <t>Packet Loss Test</t>
  </si>
  <si>
    <t>AOC Inspection</t>
  </si>
  <si>
    <t>INVT PCS</t>
  </si>
  <si>
    <t>Process</t>
  </si>
  <si>
    <t>Station</t>
  </si>
  <si>
    <t>Input</t>
  </si>
  <si>
    <t>Output</t>
  </si>
  <si>
    <t>Repair</t>
  </si>
  <si>
    <t>Fixed</t>
  </si>
  <si>
    <t>Scrapped</t>
  </si>
  <si>
    <t>FPY</t>
  </si>
  <si>
    <t>Overall Yield</t>
  </si>
  <si>
    <t>COB 100G &amp; 200G</t>
  </si>
  <si>
    <t>FW Writing</t>
  </si>
  <si>
    <t>Plasma Cleaning</t>
  </si>
  <si>
    <t>IC Die Bonding</t>
  </si>
  <si>
    <t>IC Size
Check</t>
  </si>
  <si>
    <t>Baking
H20S</t>
  </si>
  <si>
    <t>Wire
Bonding</t>
  </si>
  <si>
    <t>Appearance Inspection</t>
  </si>
  <si>
    <t>QA COB IPQC</t>
  </si>
  <si>
    <t>Burn-in Before Test</t>
  </si>
  <si>
    <t>COB Burn-In 1</t>
  </si>
  <si>
    <t>Burn-in Pre Test</t>
  </si>
  <si>
    <t>COB Burn-In 2</t>
  </si>
  <si>
    <t>Burn-in Post Test</t>
  </si>
  <si>
    <t>Lens Coupling</t>
  </si>
  <si>
    <t>UV Curing</t>
  </si>
  <si>
    <t>DP-190</t>
  </si>
  <si>
    <t>BF-4</t>
  </si>
  <si>
    <t>Baking BF-4</t>
  </si>
  <si>
    <t>COB Inspection</t>
  </si>
  <si>
    <t>QA COB OQC</t>
  </si>
  <si>
    <t>INVT</t>
  </si>
  <si>
    <t>Total Volume</t>
  </si>
  <si>
    <t>Total Yield</t>
  </si>
  <si>
    <t>AOC 400G</t>
  </si>
  <si>
    <t>Assem.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</si>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</sst>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409]m/d/yy\ h:mm\ AM/PM;@"/>
    <numFmt numFmtId="166" formatCode="[h]:mm"/>
  </numFmts>
  <fonts count="1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34"/>
    </font>
    <font>
      <sz val="11"/>
      <color rgb="FF9C0006"/>
      <name val="Aptos Narrow"/>
      <family val="2"/>
    </font>
    <font>
      <sz val="11"/>
      <color rgb="FF242424"/>
      <name val="Aptos Narrow"/>
      <charset val="1"/>
    </font>
    <font>
      <sz val="11"/>
      <color rgb="FF000000"/>
      <name val="Aptos Narrow"/>
    </font>
    <font>
      <sz val="11"/>
      <color rgb="FF006100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rgb="FFFF0000"/>
      <name val="Aptos Narrow"/>
    </font>
    <font>
      <b/>
      <sz val="11"/>
      <color rgb="FF000000"/>
      <name val="Aptos Narrow"/>
      <charset val="134"/>
    </font>
    <font>
      <sz val="11"/>
      <color rgb="FF000000"/>
      <name val="Calibri"/>
    </font>
    <font>
      <b/>
      <sz val="11"/>
      <color rgb="FF000000"/>
      <name val="Aptos Narrow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6FFD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0" fillId="0" borderId="0" xfId="0" applyAlignment="1">
      <alignment horizontal="center"/>
    </xf>
    <xf numFmtId="0" fontId="1" fillId="0" borderId="16" xfId="0" applyFont="1" applyBorder="1"/>
    <xf numFmtId="0" fontId="5" fillId="0" borderId="13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1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5" fillId="5" borderId="13" xfId="0" applyFont="1" applyFill="1" applyBorder="1"/>
    <xf numFmtId="0" fontId="0" fillId="0" borderId="0" xfId="0" applyAlignment="1">
      <alignment vertical="center"/>
    </xf>
    <xf numFmtId="0" fontId="0" fillId="0" borderId="1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8" xfId="0" applyBorder="1" applyAlignment="1">
      <alignment vertical="center"/>
    </xf>
    <xf numFmtId="0" fontId="5" fillId="5" borderId="1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8" fillId="5" borderId="13" xfId="0" applyFont="1" applyFill="1" applyBorder="1"/>
    <xf numFmtId="0" fontId="0" fillId="0" borderId="41" xfId="0" applyBorder="1" applyAlignment="1">
      <alignment horizontal="right" vertical="center"/>
    </xf>
    <xf numFmtId="0" fontId="0" fillId="0" borderId="42" xfId="0" applyBorder="1" applyAlignment="1">
      <alignment horizontal="right" vertical="center"/>
    </xf>
    <xf numFmtId="10" fontId="0" fillId="0" borderId="34" xfId="0" applyNumberFormat="1" applyBorder="1"/>
    <xf numFmtId="0" fontId="0" fillId="0" borderId="13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10" fontId="0" fillId="0" borderId="43" xfId="0" applyNumberFormat="1" applyBorder="1"/>
    <xf numFmtId="0" fontId="2" fillId="0" borderId="44" xfId="0" applyFont="1" applyBorder="1" applyAlignment="1">
      <alignment vertical="center" wrapText="1"/>
    </xf>
    <xf numFmtId="10" fontId="0" fillId="0" borderId="45" xfId="0" applyNumberFormat="1" applyBorder="1"/>
    <xf numFmtId="0" fontId="2" fillId="0" borderId="46" xfId="0" applyFont="1" applyBorder="1" applyAlignment="1">
      <alignment vertical="center" wrapText="1"/>
    </xf>
    <xf numFmtId="1" fontId="0" fillId="0" borderId="13" xfId="0" applyNumberFormat="1" applyBorder="1" applyAlignment="1">
      <alignment horizontal="right" vertical="center" wrapText="1"/>
    </xf>
    <xf numFmtId="1" fontId="0" fillId="0" borderId="13" xfId="0" applyNumberFormat="1" applyBorder="1"/>
    <xf numFmtId="1" fontId="0" fillId="0" borderId="42" xfId="0" applyNumberFormat="1" applyBorder="1" applyAlignment="1">
      <alignment horizontal="right" vertical="center"/>
    </xf>
    <xf numFmtId="1" fontId="0" fillId="0" borderId="13" xfId="0" applyNumberFormat="1" applyBorder="1" applyAlignment="1">
      <alignment horizontal="right" vertical="center"/>
    </xf>
    <xf numFmtId="0" fontId="2" fillId="0" borderId="47" xfId="0" applyFont="1" applyBorder="1" applyAlignment="1">
      <alignment vertical="center" wrapText="1"/>
    </xf>
    <xf numFmtId="1" fontId="0" fillId="0" borderId="7" xfId="0" applyNumberFormat="1" applyBorder="1"/>
    <xf numFmtId="0" fontId="0" fillId="0" borderId="48" xfId="0" applyBorder="1" applyAlignment="1">
      <alignment horizontal="right" vertical="center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vertical="center" wrapText="1"/>
    </xf>
    <xf numFmtId="0" fontId="10" fillId="13" borderId="38" xfId="0" applyFont="1" applyFill="1" applyBorder="1" applyAlignment="1">
      <alignment vertical="center" wrapText="1"/>
    </xf>
    <xf numFmtId="10" fontId="7" fillId="13" borderId="12" xfId="0" applyNumberFormat="1" applyFont="1" applyFill="1" applyBorder="1"/>
    <xf numFmtId="0" fontId="11" fillId="0" borderId="13" xfId="0" applyFont="1" applyBorder="1" applyAlignment="1">
      <alignment horizontal="left" vertical="top" wrapText="1"/>
    </xf>
    <xf numFmtId="0" fontId="11" fillId="0" borderId="13" xfId="0" applyFont="1" applyBorder="1" applyAlignment="1">
      <alignment vertical="center" wrapText="1"/>
    </xf>
    <xf numFmtId="10" fontId="0" fillId="0" borderId="49" xfId="0" applyNumberFormat="1" applyBorder="1"/>
    <xf numFmtId="0" fontId="11" fillId="0" borderId="13" xfId="0" applyFont="1" applyBorder="1"/>
    <xf numFmtId="0" fontId="7" fillId="14" borderId="13" xfId="0" applyFont="1" applyFill="1" applyBorder="1" applyAlignment="1">
      <alignment horizontal="center" vertical="center"/>
    </xf>
    <xf numFmtId="0" fontId="0" fillId="14" borderId="13" xfId="0" applyFill="1" applyBorder="1"/>
    <xf numFmtId="0" fontId="0" fillId="8" borderId="0" xfId="0" applyFill="1"/>
    <xf numFmtId="0" fontId="0" fillId="2" borderId="0" xfId="0" applyFill="1"/>
    <xf numFmtId="0" fontId="2" fillId="0" borderId="5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0" fillId="0" borderId="23" xfId="0" applyBorder="1" applyAlignment="1">
      <alignment horizontal="right" vertical="center"/>
    </xf>
    <xf numFmtId="0" fontId="0" fillId="0" borderId="52" xfId="0" applyBorder="1" applyAlignment="1">
      <alignment horizontal="right" vertical="center"/>
    </xf>
    <xf numFmtId="0" fontId="5" fillId="0" borderId="7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0" fillId="0" borderId="17" xfId="0" applyBorder="1" applyAlignment="1">
      <alignment horizontal="right" vertical="center"/>
    </xf>
    <xf numFmtId="0" fontId="0" fillId="15" borderId="0" xfId="0" applyFill="1"/>
    <xf numFmtId="0" fontId="9" fillId="5" borderId="13" xfId="0" applyFont="1" applyFill="1" applyBorder="1"/>
    <xf numFmtId="0" fontId="5" fillId="16" borderId="13" xfId="0" applyFont="1" applyFill="1" applyBorder="1"/>
    <xf numFmtId="0" fontId="1" fillId="16" borderId="13" xfId="0" applyFont="1" applyFill="1" applyBorder="1"/>
    <xf numFmtId="0" fontId="5" fillId="5" borderId="13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" fillId="16" borderId="13" xfId="0" applyFont="1" applyFill="1" applyBorder="1" applyAlignment="1">
      <alignment horizontal="center"/>
    </xf>
    <xf numFmtId="164" fontId="0" fillId="0" borderId="13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4" borderId="58" xfId="0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0" fontId="0" fillId="0" borderId="13" xfId="0" applyNumberFormat="1" applyBorder="1"/>
    <xf numFmtId="10" fontId="0" fillId="0" borderId="7" xfId="0" applyNumberFormat="1" applyBorder="1"/>
    <xf numFmtId="164" fontId="0" fillId="0" borderId="13" xfId="0" applyNumberFormat="1" applyBorder="1"/>
    <xf numFmtId="0" fontId="0" fillId="0" borderId="41" xfId="0" applyBorder="1"/>
    <xf numFmtId="0" fontId="7" fillId="2" borderId="7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vertical="center" wrapText="1"/>
    </xf>
    <xf numFmtId="0" fontId="0" fillId="0" borderId="59" xfId="0" applyBorder="1" applyAlignment="1">
      <alignment horizontal="right" vertical="center"/>
    </xf>
    <xf numFmtId="1" fontId="0" fillId="0" borderId="23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10" fillId="13" borderId="2" xfId="0" applyFont="1" applyFill="1" applyBorder="1" applyAlignment="1">
      <alignment vertical="center" wrapText="1"/>
    </xf>
    <xf numFmtId="0" fontId="11" fillId="0" borderId="47" xfId="0" applyFont="1" applyBorder="1" applyAlignment="1">
      <alignment vertical="center" wrapText="1"/>
    </xf>
    <xf numFmtId="0" fontId="11" fillId="0" borderId="47" xfId="0" applyFont="1" applyBorder="1"/>
    <xf numFmtId="0" fontId="0" fillId="14" borderId="0" xfId="0" applyFill="1"/>
    <xf numFmtId="0" fontId="0" fillId="0" borderId="25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10" fillId="10" borderId="54" xfId="0" applyFont="1" applyFill="1" applyBorder="1" applyAlignment="1">
      <alignment vertical="center" wrapText="1"/>
    </xf>
    <xf numFmtId="0" fontId="10" fillId="10" borderId="30" xfId="0" applyFont="1" applyFill="1" applyBorder="1" applyAlignment="1">
      <alignment vertical="center" wrapText="1"/>
    </xf>
    <xf numFmtId="0" fontId="10" fillId="10" borderId="5" xfId="0" applyFont="1" applyFill="1" applyBorder="1" applyAlignment="1">
      <alignment vertical="center" wrapText="1"/>
    </xf>
    <xf numFmtId="0" fontId="10" fillId="10" borderId="60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10" borderId="58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vertical="center" wrapText="1"/>
    </xf>
    <xf numFmtId="10" fontId="0" fillId="0" borderId="13" xfId="0" applyNumberFormat="1" applyBorder="1" applyAlignment="1">
      <alignment vertical="center"/>
    </xf>
    <xf numFmtId="0" fontId="10" fillId="11" borderId="13" xfId="0" applyFont="1" applyFill="1" applyBorder="1" applyAlignment="1">
      <alignment vertical="center" wrapText="1"/>
    </xf>
    <xf numFmtId="0" fontId="0" fillId="0" borderId="55" xfId="0" applyBorder="1" applyAlignment="1">
      <alignment horizontal="right" vertical="center"/>
    </xf>
    <xf numFmtId="0" fontId="0" fillId="0" borderId="46" xfId="0" applyBorder="1" applyAlignment="1">
      <alignment horizontal="right" vertical="center"/>
    </xf>
    <xf numFmtId="0" fontId="0" fillId="0" borderId="47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0" fillId="0" borderId="18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56" xfId="0" applyBorder="1" applyAlignment="1">
      <alignment horizontal="right" vertical="center"/>
    </xf>
    <xf numFmtId="10" fontId="0" fillId="0" borderId="41" xfId="0" applyNumberFormat="1" applyBorder="1" applyAlignment="1">
      <alignment vertical="center"/>
    </xf>
    <xf numFmtId="0" fontId="2" fillId="0" borderId="57" xfId="0" applyFont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vertical="center" wrapText="1"/>
    </xf>
    <xf numFmtId="0" fontId="10" fillId="10" borderId="59" xfId="0" applyFont="1" applyFill="1" applyBorder="1" applyAlignment="1">
      <alignment vertical="center" wrapText="1"/>
    </xf>
    <xf numFmtId="0" fontId="7" fillId="9" borderId="61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9" borderId="39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 wrapText="1"/>
    </xf>
    <xf numFmtId="0" fontId="7" fillId="9" borderId="62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10" fontId="0" fillId="0" borderId="45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9" xfId="0" applyBorder="1" applyAlignment="1">
      <alignment horizontal="right" vertical="center"/>
    </xf>
    <xf numFmtId="10" fontId="0" fillId="0" borderId="7" xfId="0" applyNumberFormat="1" applyBorder="1" applyAlignment="1">
      <alignment vertical="center"/>
    </xf>
    <xf numFmtId="16" fontId="5" fillId="0" borderId="46" xfId="0" applyNumberFormat="1" applyFont="1" applyBorder="1" applyAlignment="1">
      <alignment horizontal="center"/>
    </xf>
    <xf numFmtId="0" fontId="5" fillId="5" borderId="23" xfId="0" applyFont="1" applyFill="1" applyBorder="1"/>
    <xf numFmtId="1" fontId="7" fillId="2" borderId="7" xfId="0" applyNumberFormat="1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right" vertical="center"/>
    </xf>
    <xf numFmtId="0" fontId="10" fillId="10" borderId="0" xfId="0" applyFont="1" applyFill="1" applyAlignment="1">
      <alignment vertical="center" wrapText="1"/>
    </xf>
    <xf numFmtId="0" fontId="9" fillId="5" borderId="23" xfId="0" applyFont="1" applyFill="1" applyBorder="1"/>
    <xf numFmtId="0" fontId="9" fillId="0" borderId="13" xfId="0" applyFont="1" applyBorder="1"/>
    <xf numFmtId="0" fontId="5" fillId="0" borderId="23" xfId="0" applyFont="1" applyBorder="1"/>
    <xf numFmtId="0" fontId="0" fillId="2" borderId="0" xfId="0" applyFill="1" applyAlignment="1">
      <alignment vertical="center"/>
    </xf>
    <xf numFmtId="165" fontId="5" fillId="0" borderId="13" xfId="0" applyNumberFormat="1" applyFont="1" applyBorder="1" applyAlignment="1">
      <alignment horizontal="center" vertical="center"/>
    </xf>
    <xf numFmtId="0" fontId="5" fillId="6" borderId="41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5" fillId="6" borderId="23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7" fillId="18" borderId="0" xfId="0" applyFont="1" applyFill="1" applyAlignment="1">
      <alignment horizontal="center" vertical="center"/>
    </xf>
    <xf numFmtId="0" fontId="5" fillId="19" borderId="13" xfId="0" applyFont="1" applyFill="1" applyBorder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5" fillId="18" borderId="23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164" fontId="0" fillId="0" borderId="34" xfId="0" applyNumberFormat="1" applyBorder="1" applyAlignment="1">
      <alignment horizontal="center" vertical="center"/>
    </xf>
    <xf numFmtId="164" fontId="0" fillId="0" borderId="36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8" xfId="0" applyBorder="1" applyAlignment="1">
      <alignment vertical="center"/>
    </xf>
    <xf numFmtId="164" fontId="0" fillId="0" borderId="64" xfId="0" applyNumberFormat="1" applyBorder="1" applyAlignment="1">
      <alignment horizontal="center" vertical="center"/>
    </xf>
    <xf numFmtId="164" fontId="0" fillId="0" borderId="43" xfId="0" applyNumberFormat="1" applyBorder="1" applyAlignment="1">
      <alignment vertical="center"/>
    </xf>
    <xf numFmtId="0" fontId="0" fillId="0" borderId="31" xfId="0" applyBorder="1" applyAlignment="1">
      <alignment horizontal="center" vertical="center"/>
    </xf>
    <xf numFmtId="1" fontId="7" fillId="2" borderId="53" xfId="0" applyNumberFormat="1" applyFont="1" applyFill="1" applyBorder="1" applyAlignment="1">
      <alignment horizontal="center" vertical="center"/>
    </xf>
    <xf numFmtId="1" fontId="7" fillId="2" borderId="15" xfId="0" applyNumberFormat="1" applyFont="1" applyFill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0" borderId="6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20" borderId="39" xfId="0" applyFont="1" applyFill="1" applyBorder="1" applyAlignment="1">
      <alignment horizontal="center" vertical="center" wrapText="1"/>
    </xf>
    <xf numFmtId="0" fontId="0" fillId="4" borderId="62" xfId="0" applyFill="1" applyBorder="1" applyAlignment="1">
      <alignment horizontal="center" vertical="center"/>
    </xf>
    <xf numFmtId="0" fontId="0" fillId="0" borderId="65" xfId="0" applyBorder="1" applyAlignment="1">
      <alignment vertical="center"/>
    </xf>
    <xf numFmtId="165" fontId="5" fillId="0" borderId="7" xfId="0" applyNumberFormat="1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6" fontId="5" fillId="0" borderId="52" xfId="0" applyNumberFormat="1" applyFont="1" applyBorder="1" applyAlignment="1">
      <alignment horizontal="center" vertical="center"/>
    </xf>
    <xf numFmtId="166" fontId="5" fillId="0" borderId="4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5" fillId="0" borderId="52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9" fontId="6" fillId="0" borderId="59" xfId="0" applyNumberFormat="1" applyFont="1" applyBorder="1" applyAlignment="1">
      <alignment horizontal="center" vertical="center"/>
    </xf>
    <xf numFmtId="9" fontId="6" fillId="0" borderId="48" xfId="0" applyNumberFormat="1" applyFont="1" applyBorder="1" applyAlignment="1">
      <alignment horizontal="center" vertical="center"/>
    </xf>
    <xf numFmtId="9" fontId="6" fillId="0" borderId="27" xfId="0" applyNumberFormat="1" applyFont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60" xfId="0" applyNumberFormat="1" applyFont="1" applyBorder="1" applyAlignment="1">
      <alignment horizontal="center" vertical="center"/>
    </xf>
    <xf numFmtId="9" fontId="6" fillId="0" borderId="54" xfId="0" applyNumberFormat="1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166" fontId="5" fillId="0" borderId="24" xfId="0" applyNumberFormat="1" applyFont="1" applyBorder="1" applyAlignment="1">
      <alignment horizontal="center" vertical="center"/>
    </xf>
    <xf numFmtId="166" fontId="5" fillId="0" borderId="4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16" fontId="5" fillId="0" borderId="25" xfId="0" applyNumberFormat="1" applyFont="1" applyBorder="1" applyAlignment="1">
      <alignment horizontal="center" vertical="center"/>
    </xf>
    <xf numFmtId="16" fontId="5" fillId="0" borderId="2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16" fontId="5" fillId="0" borderId="23" xfId="0" applyNumberFormat="1" applyFont="1" applyBorder="1" applyAlignment="1">
      <alignment horizontal="center" vertical="center"/>
    </xf>
    <xf numFmtId="16" fontId="5" fillId="0" borderId="24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16" fontId="1" fillId="0" borderId="24" xfId="0" applyNumberFormat="1" applyFont="1" applyBorder="1" applyAlignment="1">
      <alignment horizontal="center" vertical="center"/>
    </xf>
    <xf numFmtId="16" fontId="5" fillId="6" borderId="23" xfId="0" applyNumberFormat="1" applyFont="1" applyFill="1" applyBorder="1" applyAlignment="1">
      <alignment horizontal="center" vertical="center"/>
    </xf>
    <xf numFmtId="16" fontId="5" fillId="6" borderId="24" xfId="0" applyNumberFormat="1" applyFont="1" applyFill="1" applyBorder="1" applyAlignment="1">
      <alignment horizontal="center" vertical="center"/>
    </xf>
    <xf numFmtId="16" fontId="1" fillId="6" borderId="23" xfId="0" applyNumberFormat="1" applyFont="1" applyFill="1" applyBorder="1" applyAlignment="1">
      <alignment horizontal="center" vertical="center"/>
    </xf>
    <xf numFmtId="16" fontId="1" fillId="6" borderId="24" xfId="0" applyNumberFormat="1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9" fontId="6" fillId="0" borderId="23" xfId="0" applyNumberFormat="1" applyFont="1" applyBorder="1" applyAlignment="1">
      <alignment horizontal="center"/>
    </xf>
    <xf numFmtId="9" fontId="6" fillId="0" borderId="24" xfId="0" applyNumberFormat="1" applyFont="1" applyBorder="1" applyAlignment="1">
      <alignment horizontal="center"/>
    </xf>
    <xf numFmtId="16" fontId="5" fillId="0" borderId="25" xfId="0" applyNumberFormat="1" applyFont="1" applyBorder="1" applyAlignment="1">
      <alignment horizontal="center"/>
    </xf>
    <xf numFmtId="16" fontId="5" fillId="0" borderId="26" xfId="0" applyNumberFormat="1" applyFont="1" applyBorder="1" applyAlignment="1">
      <alignment horizontal="center"/>
    </xf>
    <xf numFmtId="16" fontId="5" fillId="0" borderId="23" xfId="0" applyNumberFormat="1" applyFont="1" applyBorder="1" applyAlignment="1">
      <alignment horizontal="center"/>
    </xf>
    <xf numFmtId="16" fontId="5" fillId="0" borderId="46" xfId="0" applyNumberFormat="1" applyFont="1" applyBorder="1" applyAlignment="1">
      <alignment horizontal="center"/>
    </xf>
    <xf numFmtId="16" fontId="5" fillId="0" borderId="24" xfId="0" applyNumberFormat="1" applyFont="1" applyBorder="1" applyAlignment="1">
      <alignment horizontal="center"/>
    </xf>
    <xf numFmtId="16" fontId="5" fillId="7" borderId="23" xfId="0" applyNumberFormat="1" applyFont="1" applyFill="1" applyBorder="1" applyAlignment="1">
      <alignment horizontal="center"/>
    </xf>
    <xf numFmtId="16" fontId="5" fillId="7" borderId="24" xfId="0" applyNumberFormat="1" applyFont="1" applyFill="1" applyBorder="1" applyAlignment="1">
      <alignment horizontal="center"/>
    </xf>
    <xf numFmtId="16" fontId="5" fillId="18" borderId="23" xfId="0" applyNumberFormat="1" applyFont="1" applyFill="1" applyBorder="1" applyAlignment="1">
      <alignment horizontal="center"/>
    </xf>
    <xf numFmtId="16" fontId="5" fillId="18" borderId="24" xfId="0" applyNumberFormat="1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 vertical="center"/>
    </xf>
    <xf numFmtId="0" fontId="4" fillId="17" borderId="21" xfId="0" applyFont="1" applyFill="1" applyBorder="1" applyAlignment="1">
      <alignment horizontal="center" vertical="center"/>
    </xf>
    <xf numFmtId="0" fontId="4" fillId="17" borderId="2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6" fontId="5" fillId="0" borderId="55" xfId="0" applyNumberFormat="1" applyFont="1" applyBorder="1" applyAlignment="1">
      <alignment horizontal="center"/>
    </xf>
    <xf numFmtId="16" fontId="5" fillId="0" borderId="52" xfId="0" applyNumberFormat="1" applyFont="1" applyBorder="1" applyAlignment="1">
      <alignment horizontal="center"/>
    </xf>
    <xf numFmtId="16" fontId="5" fillId="0" borderId="42" xfId="0" applyNumberFormat="1" applyFont="1" applyBorder="1" applyAlignment="1">
      <alignment horizontal="center"/>
    </xf>
    <xf numFmtId="9" fontId="6" fillId="0" borderId="4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9" fontId="6" fillId="0" borderId="28" xfId="0" applyNumberFormat="1" applyFon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" fontId="5" fillId="6" borderId="23" xfId="0" applyNumberFormat="1" applyFont="1" applyFill="1" applyBorder="1" applyAlignment="1">
      <alignment horizontal="center"/>
    </xf>
    <xf numFmtId="16" fontId="5" fillId="6" borderId="24" xfId="0" applyNumberFormat="1" applyFont="1" applyFill="1" applyBorder="1" applyAlignment="1">
      <alignment horizontal="center"/>
    </xf>
    <xf numFmtId="0" fontId="4" fillId="15" borderId="14" xfId="0" applyFont="1" applyFill="1" applyBorder="1" applyAlignment="1">
      <alignment horizontal="center" vertical="center"/>
    </xf>
    <xf numFmtId="0" fontId="4" fillId="15" borderId="21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16" fontId="8" fillId="0" borderId="25" xfId="0" applyNumberFormat="1" applyFont="1" applyBorder="1" applyAlignment="1">
      <alignment horizontal="center"/>
    </xf>
    <xf numFmtId="16" fontId="8" fillId="0" borderId="26" xfId="0" applyNumberFormat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9" fontId="6" fillId="0" borderId="56" xfId="0" applyNumberFormat="1" applyFont="1" applyBorder="1" applyAlignment="1">
      <alignment horizontal="center"/>
    </xf>
    <xf numFmtId="16" fontId="1" fillId="0" borderId="23" xfId="0" applyNumberFormat="1" applyFont="1" applyBorder="1" applyAlignment="1">
      <alignment horizontal="center"/>
    </xf>
    <xf numFmtId="16" fontId="1" fillId="0" borderId="24" xfId="0" applyNumberFormat="1" applyFont="1" applyBorder="1" applyAlignment="1">
      <alignment horizontal="center"/>
    </xf>
    <xf numFmtId="16" fontId="1" fillId="7" borderId="23" xfId="0" applyNumberFormat="1" applyFont="1" applyFill="1" applyBorder="1" applyAlignment="1">
      <alignment horizontal="center"/>
    </xf>
    <xf numFmtId="16" fontId="1" fillId="7" borderId="24" xfId="0" applyNumberFormat="1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" fontId="5" fillId="0" borderId="44" xfId="0" applyNumberFormat="1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29" xfId="0" applyFont="1" applyFill="1" applyBorder="1" applyAlignment="1">
      <alignment horizontal="center" vertical="center" wrapText="1"/>
    </xf>
    <xf numFmtId="0" fontId="5" fillId="8" borderId="3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qi Zhou" id="{CC8D6D3F-894C-4CD9-9C83-E77215A6CB29}" userId="S::yiqi_zhou@ao-inc.com::c307bcdc-3c4e-4c0c-ad2b-ef80c0e4d667" providerId="AD"/>
  <person displayName="Kenny Diep" id="{CE01E637-E267-4710-B1FA-42BCDFC11EB5}" userId="S::kenny_diep@ao-inc.com::95294945-90ef-4f30-bc6c-34aeb3c0444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4" dT="2026-02-05T22:50:42.86" personId="{CE01E637-E267-4710-B1FA-42BCDFC11EB5}" id="{FF41C0DF-713A-49B1-9AB3-F24EE62B964A}">
    <text>Burn-in machines issue</text>
  </threadedComment>
  <threadedComment ref="P5" dT="2026-02-04T20:51:29.62" personId="{CE01E637-E267-4710-B1FA-42BCDFC11EB5}" id="{1132D0D9-F023-481C-9365-F26581D93959}">
    <text>2 in repairs: 
S147244700032
S147244700032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5" dT="2026-02-13T00:02:41.91" personId="{CC8D6D3F-894C-4CD9-9C83-E77215A6CB29}" id="{6271DCCA-3E64-455F-8A16-467D677C6B77}">
    <text>3 fails
9067260100001
9067260100002
9067260100008</text>
  </threadedComment>
  <threadedComment ref="X5" dT="2026-03-02T17:55:27.15" personId="{CE01E637-E267-4710-B1FA-42BCDFC11EB5}" id="{E702CA25-07F4-4B98-8B47-56EA060FA80E}" parentId="{6271DCCA-3E64-455F-8A16-467D677C6B77}">
    <text>scrapped</text>
  </threadedComment>
  <threadedComment ref="AD5" dT="2026-03-04T17:41:56.44" personId="{CE01E637-E267-4710-B1FA-42BCDFC11EB5}" id="{B4F3B302-9DA0-4709-A2DE-ABAFC7409F9A}">
    <text>repair: 
9067260100003</text>
  </threadedComment>
  <threadedComment ref="AH5" dT="2026-02-11T22:40:10.55" personId="{CE01E637-E267-4710-B1FA-42BCDFC11EB5}" id="{FE5BA4E2-5751-4FC0-91AD-C0E21F98FD93}">
    <text>1 in repair: 9067260100012</text>
  </threadedComment>
  <threadedComment ref="X9" dT="2026-02-13T00:09:26.32" personId="{CC8D6D3F-894C-4CD9-9C83-E77215A6CB29}" id="{AF3DD883-8BEA-41DD-8D27-5620C89F6E63}">
    <text>2 fails
9068260100012 
9068260100015</text>
  </threadedComment>
  <threadedComment ref="X9" dT="2026-03-02T17:55:14.37" personId="{CE01E637-E267-4710-B1FA-42BCDFC11EB5}" id="{C052AD84-B984-4315-9027-8E981C41DF33}" parentId="{AF3DD883-8BEA-41DD-8D27-5620C89F6E63}">
    <text>scrapped</text>
  </threadedComment>
  <threadedComment ref="AH9" dT="2026-02-13T00:10:23.60" personId="{CC8D6D3F-894C-4CD9-9C83-E77215A6CB29}" id="{D9C57115-B409-4D45-BD1C-6164DA5907BA}">
    <text>1 wip
3 fails
9068260100005
9068260100006
9068260100010</text>
  </threadedComment>
  <threadedComment ref="X13" dT="2026-02-13T00:20:06.80" personId="{CC8D6D3F-894C-4CD9-9C83-E77215A6CB29}" id="{4D9B07B1-F436-4E6F-AE78-A9A60D1F14C8}">
    <text>3 fails
9169260200001
9169260200007
9169260200014</text>
  </threadedComment>
  <threadedComment ref="X13" dT="2026-03-02T17:55:33.15" personId="{CE01E637-E267-4710-B1FA-42BCDFC11EB5}" id="{C4C2919A-6C27-404D-8C5F-00CFF3BB3889}" parentId="{4D9B07B1-F436-4E6F-AE78-A9A60D1F14C8}">
    <text>scrapped</text>
  </threadedComment>
  <threadedComment ref="AB13" dT="2026-03-04T17:47:31.24" personId="{CE01E637-E267-4710-B1FA-42BCDFC11EB5}" id="{7A032BC8-50E9-4961-8540-291D596F50E4}">
    <text>1 repair: 
9169260200003</text>
  </threadedComment>
  <threadedComment ref="AH13" dT="2026-02-13T00:20:36.32" personId="{CC8D6D3F-894C-4CD9-9C83-E77215A6CB29}" id="{472A0B04-9A45-42D7-9BF2-DBEFC288B7E7}">
    <text>2 wip
1 fails
9169260200012</text>
  </threadedComment>
  <threadedComment ref="J17" dT="2026-03-02T18:02:32.96" personId="{CE01E637-E267-4710-B1FA-42BCDFC11EB5}" id="{0336801E-EB62-4050-8FE8-702DF50CD364}">
    <text>scrapped</text>
  </threadedComment>
  <threadedComment ref="P17" dT="2026-02-13T00:28:08.92" personId="{CC8D6D3F-894C-4CD9-9C83-E77215A6CB29}" id="{76C0D444-5EAA-4533-A930-A2237B19A196}">
    <text>4 wip</text>
  </threadedComment>
  <threadedComment ref="P17" dT="2026-02-24T00:55:14.74" personId="{CE01E637-E267-4710-B1FA-42BCDFC11EB5}" id="{153A1E1A-7B39-4D9F-A0D0-A5EB1877FBFE}" parentId="{76C0D444-5EAA-4533-A930-A2237B19A196}">
    <text>scrapped</text>
  </threadedComment>
  <threadedComment ref="X17" dT="2026-02-13T00:26:03.78" personId="{CC8D6D3F-894C-4CD9-9C83-E77215A6CB29}" id="{47354F6C-2FF5-4D51-8D99-81B1D04C582F}">
    <text>3 fail
9170260200001
9170260200004
9170260200007</text>
  </threadedComment>
  <threadedComment ref="X17" dT="2026-03-02T18:03:22.72" personId="{CE01E637-E267-4710-B1FA-42BCDFC11EB5}" id="{89F8BCAE-A791-4B50-AF70-A3538F13F0EA}" parentId="{47354F6C-2FF5-4D51-8D99-81B1D04C582F}">
    <text>scrapped</text>
  </threadedComment>
  <threadedComment ref="AH17" dT="2026-02-13T00:28:36.06" personId="{CC8D6D3F-894C-4CD9-9C83-E77215A6CB29}" id="{6575177C-758D-4667-8BEF-5B1C21236B10}">
    <text>1 wip
1 fail
9170260200008</text>
  </threadedComment>
  <threadedComment ref="J21" dT="2026-03-02T20:45:10.68" personId="{CE01E637-E267-4710-B1FA-42BCDFC11EB5}" id="{BEF302BB-E52E-4261-A162-86A44D1061DF}">
    <text>4 scrapped</text>
  </threadedComment>
  <threadedComment ref="X21" dT="2026-03-02T20:08:16.85" personId="{CE01E637-E267-4710-B1FA-42BCDFC11EB5}" id="{F737AD61-D670-4615-B82C-BBA0615C0237}">
    <text>5 scrapped</text>
  </threadedComment>
  <threadedComment ref="AB21" dT="2026-03-04T20:42:17.32" personId="{CE01E637-E267-4710-B1FA-42BCDFC11EB5}" id="{C766D2C8-C010-4B42-8FC6-5D9F08AC6329}">
    <text>1 repair: 9430260200027</text>
  </threadedComment>
  <threadedComment ref="J25" dT="2026-03-04T20:45:54.25" personId="{CE01E637-E267-4710-B1FA-42BCDFC11EB5}" id="{8EA71AEF-5CEB-4B86-ACED-158EEC866607}">
    <text>scrapped</text>
  </threadedComment>
  <threadedComment ref="T25" dT="2026-03-02T20:16:27.80" personId="{CE01E637-E267-4710-B1FA-42BCDFC11EB5}" id="{9075D7A3-92D8-4C6D-8F07-E93AD078DF67}">
    <text>1 scrapped</text>
  </threadedComment>
  <threadedComment ref="X25" dT="2026-02-19T20:50:25.87" personId="{CE01E637-E267-4710-B1FA-42BCDFC11EB5}" id="{593EAF8F-3561-4E89-8EC9-3CAFF564B429}">
    <text>12 scrapped</text>
  </threadedComment>
  <threadedComment ref="AF25" dT="2026-02-19T20:52:44.08" personId="{CE01E637-E267-4710-B1FA-42BCDFC11EB5}" id="{B0F62E1E-AF42-417B-868C-05120EFC8615}">
    <text>5 wip @ asbl 2</text>
  </threadedComment>
  <threadedComment ref="J29" dT="2026-03-04T21:03:45.42" personId="{CE01E637-E267-4710-B1FA-42BCDFC11EB5}" id="{A53724E3-9670-43F6-B0D7-E871F9AD7AF1}">
    <text>scrapped</text>
  </threadedComment>
  <threadedComment ref="X29" dT="2026-03-02T20:27:20.91" personId="{CE01E637-E267-4710-B1FA-42BCDFC11EB5}" id="{A2614F67-071E-41CE-879B-2E7E37D96F97}">
    <text>8 scrapped</text>
  </threadedComment>
  <threadedComment ref="AB29" dT="2026-03-04T21:04:49.44" personId="{CE01E637-E267-4710-B1FA-42BCDFC11EB5}" id="{123ADA87-7D1D-41CE-A5DE-EF289A4F7657}">
    <text>repair</text>
  </threadedComment>
  <threadedComment ref="J33" dT="2026-03-02T20:31:46.71" personId="{CE01E637-E267-4710-B1FA-42BCDFC11EB5}" id="{715B910E-0AF4-4AE9-BE41-AF54EB058340}">
    <text>2 scrapped</text>
  </threadedComment>
  <threadedComment ref="T33" dT="2026-03-02T20:31:56.37" personId="{CE01E637-E267-4710-B1FA-42BCDFC11EB5}" id="{F0633070-C05F-4998-A452-F8040E37087D}">
    <text>2 scrapped</text>
  </threadedComment>
  <threadedComment ref="X33" dT="2026-03-02T20:32:39.95" personId="{CE01E637-E267-4710-B1FA-42BCDFC11EB5}" id="{FF4D3B80-2192-4C65-A66F-26038614A970}">
    <text>6 scrapped</text>
  </threadedComment>
  <threadedComment ref="Z33" dT="2026-03-04T21:09:35.94" personId="{CE01E637-E267-4710-B1FA-42BCDFC11EB5}" id="{D56CB75E-1900-408E-8206-BB202A7C68D2}">
    <text>1 wip 2 repairs</text>
  </threadedComment>
  <threadedComment ref="AB33" dT="2026-03-04T21:10:35.17" personId="{CE01E637-E267-4710-B1FA-42BCDFC11EB5}" id="{CF75C4A2-264D-4908-A4C5-09D7BA6969B4}">
    <text>1 repair</text>
  </threadedComment>
  <threadedComment ref="X37" dT="2026-03-02T20:34:35.48" personId="{CE01E637-E267-4710-B1FA-42BCDFC11EB5}" id="{567DC2CF-AC2E-40D7-9894-026B7A1404D2}">
    <text>11 scrapped</text>
  </threadedComment>
  <threadedComment ref="Z37" dT="2026-03-04T21:18:30.68" personId="{CE01E637-E267-4710-B1FA-42BCDFC11EB5}" id="{918B0071-109D-4675-860D-1A247B0E0526}">
    <text>2 repairs</text>
  </threadedComment>
  <threadedComment ref="X41" dT="2026-03-02T20:36:04.99" personId="{CE01E637-E267-4710-B1FA-42BCDFC11EB5}" id="{92AA9BAB-2C0C-4282-837C-5C9EFC732FEF}">
    <text>2 scrapped</text>
  </threadedComment>
  <threadedComment ref="Z41" dT="2026-03-04T21:24:56.61" personId="{CE01E637-E267-4710-B1FA-42BCDFC11EB5}" id="{D15029C8-D134-47F9-A170-4C28DBC62E45}">
    <text>2 repairs</text>
  </threadedComment>
  <threadedComment ref="X45" dT="2026-03-04T21:30:39.63" personId="{CE01E637-E267-4710-B1FA-42BCDFC11EB5}" id="{C0660A6A-F9E7-4D61-AB33-53887584AF09}">
    <text>2 scrapped</text>
  </threadedComment>
  <threadedComment ref="AH45" dT="2026-03-04T21:32:28.48" personId="{CE01E637-E267-4710-B1FA-42BCDFC11EB5}" id="{A82BE80F-F3B6-49D5-9B90-2499FA72A5BA}">
    <text>1 repair</text>
  </threadedComment>
  <threadedComment ref="X49" dT="2026-03-17T21:55:11.01" personId="{CE01E637-E267-4710-B1FA-42BCDFC11EB5}" id="{4E413790-12EC-4C79-988F-066452670748}">
    <text>4 repairs</text>
  </threadedComment>
  <threadedComment ref="AH49" dT="2026-03-17T21:57:23.95" personId="{CE01E637-E267-4710-B1FA-42BCDFC11EB5}" id="{F2E24C57-E04E-4632-B501-75DD450AC363}">
    <text>1 repair</text>
  </threadedComment>
  <threadedComment ref="X53" dT="2026-03-11T22:57:10.53" personId="{CE01E637-E267-4710-B1FA-42BCDFC11EB5}" id="{8BDE9958-EF15-466D-AFEA-8F8E037163EE}">
    <text>6 repairs</text>
  </threadedComment>
  <threadedComment ref="AH53" dT="2026-03-17T21:52:24.43" personId="{CE01E637-E267-4710-B1FA-42BCDFC11EB5}" id="{BE0BB589-3E20-4773-9400-F60F632DAB36}">
    <text>2 repairs</text>
  </threadedComment>
  <threadedComment ref="X57" dT="2026-03-11T22:55:07.71" personId="{CE01E637-E267-4710-B1FA-42BCDFC11EB5}" id="{D490C5F3-EF63-4EAD-B02A-18703FBBDADA}">
    <text>repair</text>
  </threadedComment>
  <threadedComment ref="AH57" dT="2026-03-11T22:55:52.24" personId="{CE01E637-E267-4710-B1FA-42BCDFC11EB5}" id="{532860E1-5725-4282-8E96-79914FD7E70D}">
    <text>repair</text>
  </threadedComment>
  <threadedComment ref="J61" dT="2026-03-11T22:25:25.97" personId="{CE01E637-E267-4710-B1FA-42BCDFC11EB5}" id="{ACD1E2AB-DA9B-4B7A-B6E0-C6B147A7C281}">
    <text>scrapped 3</text>
  </threadedComment>
  <threadedComment ref="AH65" dT="2026-03-17T21:35:34.17" personId="{CE01E637-E267-4710-B1FA-42BCDFC11EB5}" id="{3E7DC85B-EF1C-45EC-8D5E-E535ED63376A}">
    <text>2 repairs: 
0206260300001
0206260300005</text>
  </threadedComment>
  <threadedComment ref="AH73" dT="2026-03-17T21:11:12.76" personId="{CE01E637-E267-4710-B1FA-42BCDFC11EB5}" id="{44B34B46-388C-463D-8EFC-2C2C0B491B10}">
    <text>5 repairs:
0413260300003
0413260300007
0413260300009
0413260300011
0413260300012</text>
  </threadedComment>
  <threadedComment ref="AH81" dT="2026-03-23T21:39:15.61" personId="{CE01E637-E267-4710-B1FA-42BCDFC11EB5}" id="{85E9D22F-9387-4E98-84C3-9C8A04D007B5}">
    <text>2 repairs: 
0602260300004
0602260300008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5" dT="2026-02-13T00:02:41.91" personId="{CC8D6D3F-894C-4CD9-9C83-E77215A6CB29}" id="{D207DF5E-A8BA-4AEA-9195-1ED214EDE470}">
    <text>3 fails
9067260100001
9067260100002
9067260100008</text>
  </threadedComment>
  <threadedComment ref="X5" dT="2026-02-11T22:40:10.55" personId="{CE01E637-E267-4710-B1FA-42BCDFC11EB5}" id="{BE93DF26-B964-47DB-A724-B6B5FE4628F5}">
    <text>1 in repair: 9067260100012</text>
  </threadedComment>
  <threadedComment ref="R9" dT="2026-02-13T00:02:41.91" personId="{CC8D6D3F-894C-4CD9-9C83-E77215A6CB29}" id="{CBF3933B-3809-43BC-9ACE-4B46484DD566}">
    <text>3 fails
9067260100001
9067260100002
9067260100008</text>
  </threadedComment>
  <threadedComment ref="X9" dT="2026-02-11T22:40:10.55" personId="{CE01E637-E267-4710-B1FA-42BCDFC11EB5}" id="{68D7051C-247C-4EBB-97CB-2E117266985B}">
    <text>1 in repair: 9067260100012</text>
  </threadedComment>
  <threadedComment ref="R13" dT="2026-02-13T00:02:41.91" personId="{CC8D6D3F-894C-4CD9-9C83-E77215A6CB29}" id="{53BC4063-873E-48B0-863D-B5D3F37EA0B5}">
    <text>3 fails
9067260100001
9067260100002
9067260100008</text>
  </threadedComment>
  <threadedComment ref="X13" dT="2026-02-11T22:40:10.55" personId="{CE01E637-E267-4710-B1FA-42BCDFC11EB5}" id="{57EEE00C-97D1-4B91-A82C-3CBB154FEF2A}">
    <text>1 in repair: 9067260100012</text>
  </threadedComment>
  <threadedComment ref="R17" dT="2026-02-13T00:02:41.91" personId="{CC8D6D3F-894C-4CD9-9C83-E77215A6CB29}" id="{0269FFB4-94C8-4DDA-8B40-C904CA7CFFF4}">
    <text>3 fails
9067260100001
9067260100002
9067260100008</text>
  </threadedComment>
  <threadedComment ref="X17" dT="2026-02-11T22:40:10.55" personId="{CE01E637-E267-4710-B1FA-42BCDFC11EB5}" id="{D8EB710E-F62C-41B3-9378-EA2CDC785B36}">
    <text>1 in repair: 9067260100012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C682-E8AC-4798-B803-212A402DC70B}">
  <dimension ref="A1:EP24"/>
  <sheetViews>
    <sheetView tabSelected="1" workbookViewId="0">
      <pane xSplit="1" ySplit="2" topLeftCell="B3" activePane="bottomRight" state="frozen"/>
      <selection pane="bottomRight" activeCell="E15" sqref="E15:F15"/>
      <selection pane="bottomLeft"/>
      <selection pane="topRight"/>
    </sheetView>
  </sheetViews>
  <sheetFormatPr defaultColWidth="9.140625" defaultRowHeight="15"/>
  <cols>
    <col min="1" max="1" width="11.28515625" customWidth="1"/>
    <col min="2" max="3" width="8.5703125"/>
    <col min="4" max="4" width="28.85546875" customWidth="1"/>
    <col min="5" max="34" width="20.7109375" style="13" customWidth="1"/>
    <col min="35" max="16384" width="9.140625" style="13"/>
  </cols>
  <sheetData>
    <row r="1" spans="1:146" ht="21.75" customHeight="1">
      <c r="B1" s="141" t="s">
        <v>0</v>
      </c>
      <c r="C1" s="139" t="s">
        <v>1</v>
      </c>
      <c r="E1" s="200" t="s">
        <v>2</v>
      </c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</row>
    <row r="2" spans="1:146" ht="53.25" customHeight="1">
      <c r="A2" s="161" t="s">
        <v>3</v>
      </c>
      <c r="B2" s="162" t="s">
        <v>4</v>
      </c>
      <c r="C2" s="163" t="s">
        <v>5</v>
      </c>
      <c r="D2" s="164" t="s">
        <v>6</v>
      </c>
      <c r="E2" s="201" t="s">
        <v>7</v>
      </c>
      <c r="F2" s="196"/>
      <c r="G2" s="196" t="s">
        <v>8</v>
      </c>
      <c r="H2" s="196"/>
      <c r="I2" s="196" t="s">
        <v>9</v>
      </c>
      <c r="J2" s="196"/>
      <c r="K2" s="196" t="s">
        <v>10</v>
      </c>
      <c r="L2" s="196"/>
      <c r="M2" s="196" t="s">
        <v>11</v>
      </c>
      <c r="N2" s="196"/>
      <c r="O2" s="196" t="s">
        <v>12</v>
      </c>
      <c r="P2" s="196"/>
      <c r="Q2" s="196" t="s">
        <v>13</v>
      </c>
      <c r="R2" s="196"/>
      <c r="S2" s="196" t="s">
        <v>14</v>
      </c>
      <c r="T2" s="196"/>
      <c r="U2" s="196" t="s">
        <v>15</v>
      </c>
      <c r="V2" s="196"/>
      <c r="W2" s="196" t="s">
        <v>16</v>
      </c>
      <c r="X2" s="196"/>
      <c r="Y2" s="197" t="s">
        <v>17</v>
      </c>
      <c r="Z2" s="197"/>
      <c r="AA2" s="198" t="s">
        <v>18</v>
      </c>
      <c r="AB2" s="199"/>
      <c r="AC2" s="197" t="s">
        <v>19</v>
      </c>
      <c r="AD2" s="197"/>
      <c r="AE2" s="197" t="s">
        <v>20</v>
      </c>
      <c r="AF2" s="197"/>
      <c r="AG2" s="197" t="s">
        <v>21</v>
      </c>
      <c r="AH2" s="197"/>
      <c r="AI2" s="165" t="s">
        <v>22</v>
      </c>
    </row>
    <row r="3" spans="1:146" s="14" customFormat="1">
      <c r="A3" s="189">
        <v>120011111</v>
      </c>
      <c r="B3" s="192">
        <v>20</v>
      </c>
      <c r="C3" s="194" t="s">
        <v>23</v>
      </c>
      <c r="D3" s="56" t="s">
        <v>24</v>
      </c>
      <c r="E3" s="178">
        <v>16</v>
      </c>
      <c r="F3" s="179"/>
      <c r="G3" s="178">
        <v>248</v>
      </c>
      <c r="H3" s="179"/>
      <c r="I3" s="178">
        <v>51</v>
      </c>
      <c r="J3" s="179"/>
      <c r="K3" s="178">
        <v>248</v>
      </c>
      <c r="L3" s="179"/>
      <c r="M3" s="178">
        <v>23</v>
      </c>
      <c r="N3" s="179"/>
      <c r="O3" s="178">
        <v>60</v>
      </c>
      <c r="P3" s="179"/>
      <c r="Q3" s="178">
        <v>60</v>
      </c>
      <c r="R3" s="179"/>
      <c r="S3" s="178">
        <v>248</v>
      </c>
      <c r="T3" s="179"/>
      <c r="U3" s="178">
        <v>32</v>
      </c>
      <c r="V3" s="179"/>
      <c r="W3" s="178">
        <v>16</v>
      </c>
      <c r="X3" s="179"/>
      <c r="Y3" s="178">
        <v>60</v>
      </c>
      <c r="Z3" s="179"/>
      <c r="AA3" s="178">
        <v>4</v>
      </c>
      <c r="AB3" s="179"/>
      <c r="AC3" s="178">
        <v>40</v>
      </c>
      <c r="AD3" s="179"/>
      <c r="AE3" s="178">
        <v>248</v>
      </c>
      <c r="AF3" s="179"/>
      <c r="AG3" s="178">
        <v>60</v>
      </c>
      <c r="AH3" s="179"/>
      <c r="AI3" s="145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48"/>
    </row>
    <row r="4" spans="1:146" s="67" customFormat="1">
      <c r="A4" s="190"/>
      <c r="B4" s="192"/>
      <c r="C4" s="194"/>
      <c r="D4" s="133" t="s">
        <v>25</v>
      </c>
      <c r="E4" s="181">
        <v>1</v>
      </c>
      <c r="F4" s="182"/>
      <c r="G4" s="181">
        <v>1</v>
      </c>
      <c r="H4" s="182"/>
      <c r="I4" s="181">
        <v>1</v>
      </c>
      <c r="J4" s="182"/>
      <c r="K4" s="181">
        <v>1</v>
      </c>
      <c r="L4" s="182"/>
      <c r="M4" s="181">
        <v>1</v>
      </c>
      <c r="N4" s="182"/>
      <c r="O4" s="181">
        <v>1</v>
      </c>
      <c r="P4" s="182"/>
      <c r="Q4" s="181">
        <v>1</v>
      </c>
      <c r="R4" s="182"/>
      <c r="S4" s="181">
        <v>1</v>
      </c>
      <c r="T4" s="182"/>
      <c r="U4" s="181">
        <v>1</v>
      </c>
      <c r="V4" s="182"/>
      <c r="W4" s="181">
        <v>1</v>
      </c>
      <c r="X4" s="182"/>
      <c r="Y4" s="181">
        <v>1</v>
      </c>
      <c r="Z4" s="182"/>
      <c r="AA4" s="181">
        <v>1</v>
      </c>
      <c r="AB4" s="182"/>
      <c r="AC4" s="181">
        <v>1</v>
      </c>
      <c r="AD4" s="182"/>
      <c r="AE4" s="181">
        <v>1</v>
      </c>
      <c r="AF4" s="182"/>
      <c r="AG4" s="181">
        <v>1</v>
      </c>
      <c r="AH4" s="182"/>
      <c r="AI4" s="145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49"/>
    </row>
    <row r="5" spans="1:146" s="67" customFormat="1">
      <c r="A5" s="190"/>
      <c r="B5" s="192"/>
      <c r="C5" s="194"/>
      <c r="D5" s="133" t="s">
        <v>26</v>
      </c>
      <c r="E5" s="171">
        <f>(E10/(E3*E4))/24</f>
        <v>5.2083333333333336E-2</v>
      </c>
      <c r="F5" s="172"/>
      <c r="G5" s="171">
        <f>2/24</f>
        <v>8.3333333333333329E-2</v>
      </c>
      <c r="H5" s="172"/>
      <c r="I5" s="171">
        <f>(I10/(I3*I4))/24</f>
        <v>1.4705882352941178E-2</v>
      </c>
      <c r="J5" s="172"/>
      <c r="K5" s="171">
        <f>2/24</f>
        <v>8.3333333333333329E-2</v>
      </c>
      <c r="L5" s="172"/>
      <c r="M5" s="171">
        <f>(M10/(M3*M4))/24</f>
        <v>3.2608695652173912E-2</v>
      </c>
      <c r="N5" s="172"/>
      <c r="O5" s="171">
        <f>(O10/(O3*O4))/24</f>
        <v>1.0416666666666666E-2</v>
      </c>
      <c r="P5" s="172"/>
      <c r="Q5" s="171">
        <f>(Q10/(Q3*Q4))/24</f>
        <v>1.0416666666666666E-2</v>
      </c>
      <c r="R5" s="172"/>
      <c r="S5" s="171">
        <f>2/24</f>
        <v>8.3333333333333329E-2</v>
      </c>
      <c r="T5" s="172"/>
      <c r="U5" s="171">
        <f>(U10/(U3*U4))/24</f>
        <v>1.5625E-2</v>
      </c>
      <c r="V5" s="172"/>
      <c r="W5" s="171">
        <f>(W10/(W3*W4))/24</f>
        <v>1.5625E-2</v>
      </c>
      <c r="X5" s="172"/>
      <c r="Y5" s="171">
        <f>(Y10/(Y3*Y4))/24</f>
        <v>4.1666666666666666E-3</v>
      </c>
      <c r="Z5" s="172"/>
      <c r="AA5" s="171">
        <f>(AA10/(AA3*AA4))/24</f>
        <v>6.25E-2</v>
      </c>
      <c r="AB5" s="172"/>
      <c r="AC5" s="171">
        <f>(AC10/(AC3*AC4))/24</f>
        <v>6.2499999999999995E-3</v>
      </c>
      <c r="AD5" s="172"/>
      <c r="AE5" s="171">
        <f>2/24</f>
        <v>8.3333333333333329E-2</v>
      </c>
      <c r="AF5" s="172"/>
      <c r="AG5" s="171">
        <f>(AG10/(AG3*AG4))/24</f>
        <v>4.1666666666666666E-3</v>
      </c>
      <c r="AH5" s="172"/>
      <c r="AI5" s="145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49"/>
    </row>
    <row r="6" spans="1:146" s="67" customFormat="1">
      <c r="A6" s="190"/>
      <c r="B6" s="192"/>
      <c r="C6" s="194"/>
      <c r="D6" s="134" t="s">
        <v>27</v>
      </c>
      <c r="E6" s="132">
        <v>46147.375</v>
      </c>
      <c r="F6" s="132">
        <f>E6+E5</f>
        <v>46147.427083333336</v>
      </c>
      <c r="G6" s="132">
        <v>46147.416666666664</v>
      </c>
      <c r="H6" s="132">
        <f>G6+G5</f>
        <v>46147.5</v>
      </c>
      <c r="I6" s="132">
        <v>46147.375</v>
      </c>
      <c r="J6" s="132">
        <f>I6+I5</f>
        <v>46147.38970588235</v>
      </c>
      <c r="K6" s="132">
        <v>46147.375</v>
      </c>
      <c r="L6" s="132">
        <f>K6+K5</f>
        <v>46147.458333333336</v>
      </c>
      <c r="M6" s="132">
        <v>46147.375</v>
      </c>
      <c r="N6" s="132">
        <f>M6+M5</f>
        <v>46147.407608695656</v>
      </c>
      <c r="O6" s="132">
        <v>46147.375</v>
      </c>
      <c r="P6" s="132">
        <f>O6+O5</f>
        <v>46147.385416666664</v>
      </c>
      <c r="Q6" s="132">
        <v>46147.375</v>
      </c>
      <c r="R6" s="132">
        <f>Q6+Q5</f>
        <v>46147.385416666664</v>
      </c>
      <c r="S6" s="132">
        <v>46147.375</v>
      </c>
      <c r="T6" s="132">
        <f>S6+S5</f>
        <v>46147.458333333336</v>
      </c>
      <c r="U6" s="132">
        <v>46147.375</v>
      </c>
      <c r="V6" s="132">
        <f>U6+U5</f>
        <v>46147.390625</v>
      </c>
      <c r="W6" s="132">
        <v>46147.375</v>
      </c>
      <c r="X6" s="132">
        <f>W6+W5</f>
        <v>46147.390625</v>
      </c>
      <c r="Y6" s="132">
        <v>46147.375</v>
      </c>
      <c r="Z6" s="132">
        <f>Y6+Y5</f>
        <v>46147.379166666666</v>
      </c>
      <c r="AA6" s="132">
        <v>46147.375</v>
      </c>
      <c r="AB6" s="132">
        <f>AA6+AA5</f>
        <v>46147.4375</v>
      </c>
      <c r="AC6" s="132">
        <v>46147.375</v>
      </c>
      <c r="AD6" s="132">
        <f>AC6+AC5</f>
        <v>46147.381249999999</v>
      </c>
      <c r="AE6" s="132">
        <v>46147.375</v>
      </c>
      <c r="AF6" s="132">
        <f>AE6+AE5</f>
        <v>46147.458333333336</v>
      </c>
      <c r="AG6" s="132">
        <v>46147.375</v>
      </c>
      <c r="AH6" s="132">
        <f>AG6+AG5</f>
        <v>46147.379166666666</v>
      </c>
      <c r="AI6" s="145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49"/>
    </row>
    <row r="7" spans="1:146" s="67" customFormat="1">
      <c r="A7" s="190"/>
      <c r="B7" s="192"/>
      <c r="C7" s="194"/>
      <c r="D7" s="134" t="s">
        <v>28</v>
      </c>
      <c r="E7" s="167">
        <v>46147.385416666664</v>
      </c>
      <c r="F7" s="167">
        <v>46147.46875</v>
      </c>
      <c r="G7" s="167"/>
      <c r="H7" s="167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45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49"/>
    </row>
    <row r="8" spans="1:146" s="67" customFormat="1">
      <c r="A8" s="190"/>
      <c r="B8" s="192"/>
      <c r="C8" s="194"/>
      <c r="D8" s="134" t="s">
        <v>29</v>
      </c>
      <c r="E8" s="180">
        <f>F7-E7</f>
        <v>8.3333333335758653E-2</v>
      </c>
      <c r="F8" s="180"/>
      <c r="G8" s="202">
        <f>H7-G7</f>
        <v>0</v>
      </c>
      <c r="H8" s="180"/>
      <c r="I8" s="203">
        <f>J7-I7</f>
        <v>0</v>
      </c>
      <c r="J8" s="176"/>
      <c r="K8" s="175">
        <f>L7-K7</f>
        <v>0</v>
      </c>
      <c r="L8" s="176"/>
      <c r="M8" s="175">
        <f>N7-M7</f>
        <v>0</v>
      </c>
      <c r="N8" s="176"/>
      <c r="O8" s="175">
        <f>P7-O7</f>
        <v>0</v>
      </c>
      <c r="P8" s="176"/>
      <c r="Q8" s="175">
        <f>R7-Q7</f>
        <v>0</v>
      </c>
      <c r="R8" s="176"/>
      <c r="S8" s="175">
        <f>T7-S7</f>
        <v>0</v>
      </c>
      <c r="T8" s="176"/>
      <c r="U8" s="175">
        <f>V7-U7</f>
        <v>0</v>
      </c>
      <c r="V8" s="176"/>
      <c r="W8" s="175">
        <f>X7-W7</f>
        <v>0</v>
      </c>
      <c r="X8" s="176"/>
      <c r="Y8" s="175">
        <f>Z7-Y7</f>
        <v>0</v>
      </c>
      <c r="Z8" s="176"/>
      <c r="AA8" s="175">
        <f>AB7-AA7</f>
        <v>0</v>
      </c>
      <c r="AB8" s="176"/>
      <c r="AC8" s="175">
        <f>AD7-AC7</f>
        <v>0</v>
      </c>
      <c r="AD8" s="176"/>
      <c r="AE8" s="175">
        <f>AF7-AE7</f>
        <v>0</v>
      </c>
      <c r="AF8" s="176"/>
      <c r="AG8" s="175">
        <f>AH7-AG7</f>
        <v>0</v>
      </c>
      <c r="AH8" s="176"/>
      <c r="AI8" s="145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49"/>
    </row>
    <row r="9" spans="1:146" s="67" customFormat="1">
      <c r="A9" s="190"/>
      <c r="B9" s="192"/>
      <c r="C9" s="194"/>
      <c r="D9" s="134" t="s">
        <v>30</v>
      </c>
      <c r="E9" s="177">
        <f>E10/((F7-E7)*24)</f>
        <v>9.9999999997089617</v>
      </c>
      <c r="F9" s="177"/>
      <c r="G9" s="204" t="e">
        <f t="shared" ref="G9" si="0">G10/((H7-G7)*24)</f>
        <v>#DIV/0!</v>
      </c>
      <c r="H9" s="177"/>
      <c r="I9" s="205" t="e">
        <f t="shared" ref="I9" si="1">I10/((J7-I7)*24)</f>
        <v>#DIV/0!</v>
      </c>
      <c r="J9" s="170"/>
      <c r="K9" s="169" t="e">
        <f t="shared" ref="K9" si="2">K10/((L7-K7)*24)</f>
        <v>#DIV/0!</v>
      </c>
      <c r="L9" s="170"/>
      <c r="M9" s="169" t="e">
        <f t="shared" ref="M9" si="3">M10/((N7-M7)*24)</f>
        <v>#DIV/0!</v>
      </c>
      <c r="N9" s="170"/>
      <c r="O9" s="169" t="e">
        <f t="shared" ref="O9" si="4">O10/((P7-O7)*24)</f>
        <v>#DIV/0!</v>
      </c>
      <c r="P9" s="170"/>
      <c r="Q9" s="169" t="e">
        <f t="shared" ref="Q9" si="5">Q10/((R7-Q7)*24)</f>
        <v>#DIV/0!</v>
      </c>
      <c r="R9" s="170"/>
      <c r="S9" s="169" t="e">
        <f t="shared" ref="S9" si="6">S10/((T7-S7)*24)</f>
        <v>#DIV/0!</v>
      </c>
      <c r="T9" s="170"/>
      <c r="U9" s="169" t="e">
        <f t="shared" ref="U9" si="7">U10/((V7-U7)*24)</f>
        <v>#DIV/0!</v>
      </c>
      <c r="V9" s="170"/>
      <c r="W9" s="169" t="e">
        <f t="shared" ref="W9" si="8">W10/((X7-W7)*24)</f>
        <v>#DIV/0!</v>
      </c>
      <c r="X9" s="170"/>
      <c r="Y9" s="169" t="e">
        <f t="shared" ref="Y9" si="9">Y10/((Z7-Y7)*24)</f>
        <v>#DIV/0!</v>
      </c>
      <c r="Z9" s="170"/>
      <c r="AA9" s="169" t="e">
        <f t="shared" ref="AA9" si="10">AA10/((AB7-AA7)*24)</f>
        <v>#DIV/0!</v>
      </c>
      <c r="AB9" s="170"/>
      <c r="AC9" s="169" t="e">
        <f t="shared" ref="AC9" si="11">AC10/((AD7-AC7)*24)</f>
        <v>#DIV/0!</v>
      </c>
      <c r="AD9" s="170"/>
      <c r="AE9" s="169" t="e">
        <f t="shared" ref="AE9" si="12">AE10/((AF7-AE7)*24)</f>
        <v>#DIV/0!</v>
      </c>
      <c r="AF9" s="170"/>
      <c r="AG9" s="169" t="e">
        <f t="shared" ref="AG9" si="13">AG10/((AH7-AG7)*24)</f>
        <v>#DIV/0!</v>
      </c>
      <c r="AH9" s="170"/>
      <c r="AI9" s="145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49"/>
    </row>
    <row r="10" spans="1:146" s="15" customFormat="1">
      <c r="A10" s="190"/>
      <c r="B10" s="192"/>
      <c r="C10" s="194"/>
      <c r="D10" s="137" t="s">
        <v>31</v>
      </c>
      <c r="E10" s="168">
        <v>20</v>
      </c>
      <c r="F10" s="168">
        <v>18</v>
      </c>
      <c r="G10" s="168">
        <v>18</v>
      </c>
      <c r="H10" s="168">
        <v>18</v>
      </c>
      <c r="I10" s="144">
        <v>18</v>
      </c>
      <c r="J10" s="144">
        <v>18</v>
      </c>
      <c r="K10" s="144">
        <v>18</v>
      </c>
      <c r="L10" s="144">
        <v>18</v>
      </c>
      <c r="M10" s="144">
        <v>18</v>
      </c>
      <c r="N10" s="144">
        <v>15</v>
      </c>
      <c r="O10" s="144">
        <v>15</v>
      </c>
      <c r="P10" s="144">
        <v>15</v>
      </c>
      <c r="Q10" s="144">
        <v>15</v>
      </c>
      <c r="R10" s="144">
        <v>15</v>
      </c>
      <c r="S10" s="144">
        <v>15</v>
      </c>
      <c r="T10" s="144">
        <v>12</v>
      </c>
      <c r="U10" s="144">
        <v>12</v>
      </c>
      <c r="V10" s="144">
        <v>6</v>
      </c>
      <c r="W10" s="144">
        <v>6</v>
      </c>
      <c r="X10" s="144">
        <v>6</v>
      </c>
      <c r="Y10" s="144">
        <v>6</v>
      </c>
      <c r="Z10" s="144">
        <v>6</v>
      </c>
      <c r="AA10" s="144">
        <v>6</v>
      </c>
      <c r="AB10" s="144">
        <v>6</v>
      </c>
      <c r="AC10" s="144">
        <v>6</v>
      </c>
      <c r="AD10" s="144">
        <v>6</v>
      </c>
      <c r="AE10" s="144">
        <v>6</v>
      </c>
      <c r="AF10" s="144">
        <v>6</v>
      </c>
      <c r="AG10" s="144">
        <v>6</v>
      </c>
      <c r="AH10" s="144">
        <v>1</v>
      </c>
      <c r="AI10" s="146">
        <f>AH10/E10</f>
        <v>0.05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50"/>
    </row>
    <row r="11" spans="1:146" s="136" customFormat="1">
      <c r="A11" s="190"/>
      <c r="B11" s="192"/>
      <c r="C11" s="194"/>
      <c r="D11" s="138" t="s">
        <v>32</v>
      </c>
      <c r="E11" s="140">
        <f>E10-F10-F11</f>
        <v>0</v>
      </c>
      <c r="F11" s="142">
        <v>2</v>
      </c>
      <c r="G11" s="140">
        <f t="shared" ref="G11" si="14">G10-H10-H11</f>
        <v>0</v>
      </c>
      <c r="H11" s="142"/>
      <c r="I11" s="140">
        <f t="shared" ref="I11" si="15">I10-J10-J11</f>
        <v>0</v>
      </c>
      <c r="J11" s="142"/>
      <c r="K11" s="140">
        <f t="shared" ref="K11" si="16">K10-L10-L11</f>
        <v>0</v>
      </c>
      <c r="L11" s="142"/>
      <c r="M11" s="140">
        <f t="shared" ref="M11" si="17">M10-N10-N11</f>
        <v>3</v>
      </c>
      <c r="N11" s="142"/>
      <c r="O11" s="140">
        <f t="shared" ref="O11" si="18">O10-P10-P11</f>
        <v>-2</v>
      </c>
      <c r="P11" s="142">
        <v>2</v>
      </c>
      <c r="Q11" s="140">
        <f t="shared" ref="Q11" si="19">Q10-R10-R11</f>
        <v>0</v>
      </c>
      <c r="R11" s="142"/>
      <c r="S11" s="140">
        <f t="shared" ref="S11" si="20">S10-T10-T11</f>
        <v>3</v>
      </c>
      <c r="T11" s="142"/>
      <c r="U11" s="140">
        <f t="shared" ref="U11" si="21">U10-V10-V11</f>
        <v>6</v>
      </c>
      <c r="V11" s="142"/>
      <c r="W11" s="140">
        <f t="shared" ref="W11" si="22">W10-X10-X11</f>
        <v>0</v>
      </c>
      <c r="X11" s="142"/>
      <c r="Y11" s="140">
        <f t="shared" ref="Y11" si="23">Y10-Z10-Z11</f>
        <v>0</v>
      </c>
      <c r="Z11" s="142"/>
      <c r="AA11" s="140">
        <f t="shared" ref="AA11" si="24">AA10-AB10-AB11</f>
        <v>0</v>
      </c>
      <c r="AB11" s="142"/>
      <c r="AC11" s="140">
        <f t="shared" ref="AC11" si="25">AC10-AD10-AD11</f>
        <v>0</v>
      </c>
      <c r="AD11" s="142"/>
      <c r="AE11" s="140">
        <f t="shared" ref="AE11" si="26">AE10-AF10-AF11</f>
        <v>0</v>
      </c>
      <c r="AF11" s="142"/>
      <c r="AG11" s="140">
        <f t="shared" ref="AG11" si="27">AG10-AH10-AH11</f>
        <v>5</v>
      </c>
      <c r="AH11" s="142"/>
      <c r="AI11" s="146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51"/>
    </row>
    <row r="12" spans="1:146" s="16" customFormat="1">
      <c r="A12" s="191"/>
      <c r="B12" s="193"/>
      <c r="C12" s="195"/>
      <c r="D12" s="135" t="s">
        <v>22</v>
      </c>
      <c r="E12" s="187">
        <f>F10/E10</f>
        <v>0.9</v>
      </c>
      <c r="F12" s="188"/>
      <c r="G12" s="187">
        <f>H10/G10</f>
        <v>1</v>
      </c>
      <c r="H12" s="188"/>
      <c r="I12" s="185">
        <f>J10/I10</f>
        <v>1</v>
      </c>
      <c r="J12" s="186"/>
      <c r="K12" s="185">
        <f>L10/K10</f>
        <v>1</v>
      </c>
      <c r="L12" s="186"/>
      <c r="M12" s="185">
        <f>N10/M10</f>
        <v>0.83333333333333337</v>
      </c>
      <c r="N12" s="186"/>
      <c r="O12" s="185">
        <f>P10/O10</f>
        <v>1</v>
      </c>
      <c r="P12" s="186"/>
      <c r="Q12" s="185">
        <f>R10/Q10</f>
        <v>1</v>
      </c>
      <c r="R12" s="186"/>
      <c r="S12" s="185">
        <f>T10/S10</f>
        <v>0.8</v>
      </c>
      <c r="T12" s="186"/>
      <c r="U12" s="185">
        <f>V10/U10</f>
        <v>0.5</v>
      </c>
      <c r="V12" s="186"/>
      <c r="W12" s="185">
        <f>X10/W10</f>
        <v>1</v>
      </c>
      <c r="X12" s="186"/>
      <c r="Y12" s="185">
        <f>Z10/Y10</f>
        <v>1</v>
      </c>
      <c r="Z12" s="186"/>
      <c r="AA12" s="185">
        <f>AB10/AA10</f>
        <v>1</v>
      </c>
      <c r="AB12" s="186"/>
      <c r="AC12" s="185">
        <f>AD10/AC10</f>
        <v>1</v>
      </c>
      <c r="AD12" s="186"/>
      <c r="AE12" s="185">
        <f>AF10/AE10</f>
        <v>1</v>
      </c>
      <c r="AF12" s="186"/>
      <c r="AG12" s="185">
        <f>AH10/AG10</f>
        <v>0.16666666666666666</v>
      </c>
      <c r="AH12" s="186"/>
      <c r="AI12" s="147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52"/>
    </row>
    <row r="13" spans="1:146">
      <c r="A13" s="189">
        <v>120011112</v>
      </c>
      <c r="B13" s="192">
        <v>20</v>
      </c>
      <c r="C13" s="194" t="s">
        <v>23</v>
      </c>
      <c r="D13" s="133" t="s">
        <v>24</v>
      </c>
      <c r="E13" s="178">
        <v>16</v>
      </c>
      <c r="F13" s="179"/>
      <c r="G13" s="178">
        <v>248</v>
      </c>
      <c r="H13" s="179"/>
      <c r="I13" s="178">
        <v>51</v>
      </c>
      <c r="J13" s="179"/>
      <c r="K13" s="178">
        <v>248</v>
      </c>
      <c r="L13" s="179"/>
      <c r="M13" s="178">
        <v>23</v>
      </c>
      <c r="N13" s="179"/>
      <c r="O13" s="178">
        <v>60</v>
      </c>
      <c r="P13" s="179"/>
      <c r="Q13" s="178">
        <v>60</v>
      </c>
      <c r="R13" s="179"/>
      <c r="S13" s="178">
        <v>248</v>
      </c>
      <c r="T13" s="179"/>
      <c r="U13" s="178">
        <v>32</v>
      </c>
      <c r="V13" s="179"/>
      <c r="W13" s="178">
        <v>16</v>
      </c>
      <c r="X13" s="179"/>
      <c r="Y13" s="178">
        <v>60</v>
      </c>
      <c r="Z13" s="179"/>
      <c r="AA13" s="178">
        <v>4</v>
      </c>
      <c r="AB13" s="179"/>
      <c r="AC13" s="178">
        <v>40</v>
      </c>
      <c r="AD13" s="179"/>
      <c r="AE13" s="178">
        <v>248</v>
      </c>
      <c r="AF13" s="179"/>
      <c r="AG13" s="178">
        <v>60</v>
      </c>
      <c r="AH13" s="179"/>
      <c r="AI13" s="145"/>
    </row>
    <row r="14" spans="1:146">
      <c r="A14" s="190"/>
      <c r="B14" s="192"/>
      <c r="C14" s="194"/>
      <c r="D14" s="133" t="s">
        <v>25</v>
      </c>
      <c r="E14" s="181">
        <v>1</v>
      </c>
      <c r="F14" s="182"/>
      <c r="G14" s="181">
        <v>1</v>
      </c>
      <c r="H14" s="182"/>
      <c r="I14" s="181">
        <v>1</v>
      </c>
      <c r="J14" s="182"/>
      <c r="K14" s="181">
        <v>1</v>
      </c>
      <c r="L14" s="182"/>
      <c r="M14" s="181">
        <v>1</v>
      </c>
      <c r="N14" s="182"/>
      <c r="O14" s="181">
        <v>1</v>
      </c>
      <c r="P14" s="182"/>
      <c r="Q14" s="181">
        <v>1</v>
      </c>
      <c r="R14" s="182"/>
      <c r="S14" s="181">
        <v>1</v>
      </c>
      <c r="T14" s="182"/>
      <c r="U14" s="181">
        <v>1</v>
      </c>
      <c r="V14" s="182"/>
      <c r="W14" s="181">
        <v>1</v>
      </c>
      <c r="X14" s="182"/>
      <c r="Y14" s="181">
        <v>1</v>
      </c>
      <c r="Z14" s="182"/>
      <c r="AA14" s="181">
        <v>1</v>
      </c>
      <c r="AB14" s="182"/>
      <c r="AC14" s="181">
        <v>1</v>
      </c>
      <c r="AD14" s="182"/>
      <c r="AE14" s="181">
        <v>1</v>
      </c>
      <c r="AF14" s="182"/>
      <c r="AG14" s="181">
        <v>1</v>
      </c>
      <c r="AH14" s="182"/>
      <c r="AI14" s="145"/>
    </row>
    <row r="15" spans="1:146">
      <c r="A15" s="190"/>
      <c r="B15" s="192"/>
      <c r="C15" s="194"/>
      <c r="D15" s="133" t="s">
        <v>26</v>
      </c>
      <c r="E15" s="171">
        <f>(E20/(E13*E14))/24</f>
        <v>5.2083333333333336E-2</v>
      </c>
      <c r="F15" s="172"/>
      <c r="G15" s="171">
        <f>2/24</f>
        <v>8.3333333333333329E-2</v>
      </c>
      <c r="H15" s="172"/>
      <c r="I15" s="171">
        <f>(I20/(I13*I14))/24</f>
        <v>1.6339869281045753E-2</v>
      </c>
      <c r="J15" s="172"/>
      <c r="K15" s="171">
        <f>2/24</f>
        <v>8.3333333333333329E-2</v>
      </c>
      <c r="L15" s="172"/>
      <c r="M15" s="171">
        <f>(M20/(M13*M14))/24</f>
        <v>3.6231884057971016E-2</v>
      </c>
      <c r="N15" s="172"/>
      <c r="O15" s="171">
        <f>(O20/(O13*O14))/24</f>
        <v>1.3888888888888888E-2</v>
      </c>
      <c r="P15" s="172"/>
      <c r="Q15" s="171">
        <f>(Q20/(Q13*Q14))/24</f>
        <v>1.3888888888888888E-2</v>
      </c>
      <c r="R15" s="172"/>
      <c r="S15" s="171">
        <f>2/24</f>
        <v>8.3333333333333329E-2</v>
      </c>
      <c r="T15" s="172"/>
      <c r="U15" s="171">
        <f>(U20/(U13*U14))/24</f>
        <v>2.6041666666666668E-2</v>
      </c>
      <c r="V15" s="172"/>
      <c r="W15" s="171">
        <f>(W20/(W13*W14))/24</f>
        <v>5.2083333333333336E-2</v>
      </c>
      <c r="X15" s="172"/>
      <c r="Y15" s="171">
        <f>(Y20/(Y13*Y14))/24</f>
        <v>1.3888888888888888E-2</v>
      </c>
      <c r="Z15" s="172"/>
      <c r="AA15" s="171">
        <f>(AA20/(AA13*AA14))/24</f>
        <v>0.20833333333333334</v>
      </c>
      <c r="AB15" s="172"/>
      <c r="AC15" s="171">
        <f>(AC20/(AC13*AC14))/24</f>
        <v>2.0833333333333332E-2</v>
      </c>
      <c r="AD15" s="172"/>
      <c r="AE15" s="171">
        <f>2/24</f>
        <v>8.3333333333333329E-2</v>
      </c>
      <c r="AF15" s="172"/>
      <c r="AG15" s="171">
        <f>(AG20/(AG13*AG14))/24</f>
        <v>1.3888888888888888E-2</v>
      </c>
      <c r="AH15" s="172"/>
      <c r="AI15" s="145"/>
    </row>
    <row r="16" spans="1:146">
      <c r="A16" s="190"/>
      <c r="B16" s="192"/>
      <c r="C16" s="194"/>
      <c r="D16" s="134" t="s">
        <v>27</v>
      </c>
      <c r="E16" s="132">
        <v>46147.375</v>
      </c>
      <c r="F16" s="132">
        <f>E16+E15</f>
        <v>46147.427083333336</v>
      </c>
      <c r="G16" s="132">
        <v>46147.375</v>
      </c>
      <c r="H16" s="132">
        <f>G16+G15</f>
        <v>46147.458333333336</v>
      </c>
      <c r="I16" s="132">
        <v>46147.375</v>
      </c>
      <c r="J16" s="132">
        <f>I16+I15</f>
        <v>46147.391339869282</v>
      </c>
      <c r="K16" s="132">
        <v>46147.375</v>
      </c>
      <c r="L16" s="132">
        <f>K16+K15</f>
        <v>46147.458333333336</v>
      </c>
      <c r="M16" s="132">
        <v>46147.375</v>
      </c>
      <c r="N16" s="132">
        <f>M16+M15</f>
        <v>46147.411231884056</v>
      </c>
      <c r="O16" s="132">
        <v>46147.375</v>
      </c>
      <c r="P16" s="132">
        <f>O16+O15</f>
        <v>46147.388888888891</v>
      </c>
      <c r="Q16" s="132">
        <v>46147.375</v>
      </c>
      <c r="R16" s="132">
        <f>Q16+Q15</f>
        <v>46147.388888888891</v>
      </c>
      <c r="S16" s="132">
        <v>46147.375</v>
      </c>
      <c r="T16" s="132">
        <f>S16+S15</f>
        <v>46147.458333333336</v>
      </c>
      <c r="U16" s="132">
        <v>46147.375</v>
      </c>
      <c r="V16" s="132">
        <f>U16+U15</f>
        <v>46147.401041666664</v>
      </c>
      <c r="W16" s="132">
        <v>46147.375</v>
      </c>
      <c r="X16" s="132">
        <f>W16+W15</f>
        <v>46147.427083333336</v>
      </c>
      <c r="Y16" s="132">
        <v>46147.375</v>
      </c>
      <c r="Z16" s="132">
        <f>Y16+Y15</f>
        <v>46147.388888888891</v>
      </c>
      <c r="AA16" s="132">
        <v>46147.375</v>
      </c>
      <c r="AB16" s="132">
        <f>AA16+AA15</f>
        <v>46147.583333333336</v>
      </c>
      <c r="AC16" s="132">
        <v>46147.375</v>
      </c>
      <c r="AD16" s="132">
        <f>AC16+AC15</f>
        <v>46147.395833333336</v>
      </c>
      <c r="AE16" s="132">
        <v>46147.375</v>
      </c>
      <c r="AF16" s="132">
        <f>AE16+AE15</f>
        <v>46147.458333333336</v>
      </c>
      <c r="AG16" s="132">
        <v>46147.375</v>
      </c>
      <c r="AH16" s="132">
        <f>AG16+AG15</f>
        <v>46147.388888888891</v>
      </c>
      <c r="AI16" s="145"/>
    </row>
    <row r="17" spans="1:35">
      <c r="A17" s="190"/>
      <c r="B17" s="192"/>
      <c r="C17" s="194"/>
      <c r="D17" s="134" t="s">
        <v>28</v>
      </c>
      <c r="E17" s="167">
        <v>46147.385416666664</v>
      </c>
      <c r="F17" s="167">
        <v>46147.46875</v>
      </c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45"/>
    </row>
    <row r="18" spans="1:35">
      <c r="A18" s="190"/>
      <c r="B18" s="192"/>
      <c r="C18" s="194"/>
      <c r="D18" s="134" t="s">
        <v>29</v>
      </c>
      <c r="E18" s="180">
        <f>F17-E17</f>
        <v>8.3333333335758653E-2</v>
      </c>
      <c r="F18" s="180"/>
      <c r="G18" s="180">
        <f>H17-G17</f>
        <v>0</v>
      </c>
      <c r="H18" s="180"/>
      <c r="I18" s="180">
        <f>J17-I17</f>
        <v>0</v>
      </c>
      <c r="J18" s="180"/>
      <c r="K18" s="180">
        <f>L17-K17</f>
        <v>0</v>
      </c>
      <c r="L18" s="180"/>
      <c r="M18" s="180">
        <f>N17-M17</f>
        <v>0</v>
      </c>
      <c r="N18" s="180"/>
      <c r="O18" s="180">
        <f>P17-O17</f>
        <v>0</v>
      </c>
      <c r="P18" s="180"/>
      <c r="Q18" s="180">
        <f>R17-Q17</f>
        <v>0</v>
      </c>
      <c r="R18" s="180"/>
      <c r="S18" s="180">
        <f>T17-S17</f>
        <v>0</v>
      </c>
      <c r="T18" s="180"/>
      <c r="U18" s="180">
        <f>V17-U17</f>
        <v>0</v>
      </c>
      <c r="V18" s="180"/>
      <c r="W18" s="180">
        <f>X17-W17</f>
        <v>0</v>
      </c>
      <c r="X18" s="180"/>
      <c r="Y18" s="180">
        <f>Z17-Y17</f>
        <v>0</v>
      </c>
      <c r="Z18" s="180"/>
      <c r="AA18" s="180">
        <f>AB17-AA17</f>
        <v>0</v>
      </c>
      <c r="AB18" s="180"/>
      <c r="AC18" s="180">
        <f>AD17-AC17</f>
        <v>0</v>
      </c>
      <c r="AD18" s="180"/>
      <c r="AE18" s="180">
        <f>AF17-AE17</f>
        <v>0</v>
      </c>
      <c r="AF18" s="180"/>
      <c r="AG18" s="180">
        <f>AH17-AG17</f>
        <v>0</v>
      </c>
      <c r="AH18" s="180"/>
      <c r="AI18" s="166"/>
    </row>
    <row r="19" spans="1:35">
      <c r="A19" s="190"/>
      <c r="B19" s="192"/>
      <c r="C19" s="194"/>
      <c r="D19" s="134" t="s">
        <v>30</v>
      </c>
      <c r="E19" s="177">
        <f>E20/((F17-E17)*24)</f>
        <v>9.9999999997089617</v>
      </c>
      <c r="F19" s="177"/>
      <c r="G19" s="177" t="e">
        <f t="shared" ref="G19" si="28">G20/((H17-G17)*24)</f>
        <v>#DIV/0!</v>
      </c>
      <c r="H19" s="177"/>
      <c r="I19" s="177" t="e">
        <f t="shared" ref="I19" si="29">I20/((J17-I17)*24)</f>
        <v>#DIV/0!</v>
      </c>
      <c r="J19" s="177"/>
      <c r="K19" s="177" t="e">
        <f t="shared" ref="K19" si="30">K20/((L17-K17)*24)</f>
        <v>#DIV/0!</v>
      </c>
      <c r="L19" s="177"/>
      <c r="M19" s="177" t="e">
        <f t="shared" ref="M19" si="31">M20/((N17-M17)*24)</f>
        <v>#DIV/0!</v>
      </c>
      <c r="N19" s="177"/>
      <c r="O19" s="177" t="e">
        <f t="shared" ref="O19" si="32">O20/((P17-O17)*24)</f>
        <v>#DIV/0!</v>
      </c>
      <c r="P19" s="177"/>
      <c r="Q19" s="177" t="e">
        <f t="shared" ref="Q19" si="33">Q20/((R17-Q17)*24)</f>
        <v>#DIV/0!</v>
      </c>
      <c r="R19" s="177"/>
      <c r="S19" s="177" t="e">
        <f t="shared" ref="S19" si="34">S20/((T17-S17)*24)</f>
        <v>#DIV/0!</v>
      </c>
      <c r="T19" s="177"/>
      <c r="U19" s="177" t="e">
        <f t="shared" ref="U19" si="35">U20/((V17-U17)*24)</f>
        <v>#DIV/0!</v>
      </c>
      <c r="V19" s="177"/>
      <c r="W19" s="177" t="e">
        <f t="shared" ref="W19" si="36">W20/((X17-W17)*24)</f>
        <v>#DIV/0!</v>
      </c>
      <c r="X19" s="177"/>
      <c r="Y19" s="177" t="e">
        <f t="shared" ref="Y19" si="37">Y20/((Z17-Y17)*24)</f>
        <v>#DIV/0!</v>
      </c>
      <c r="Z19" s="177"/>
      <c r="AA19" s="177" t="e">
        <f t="shared" ref="AA19" si="38">AA20/((AB17-AA17)*24)</f>
        <v>#DIV/0!</v>
      </c>
      <c r="AB19" s="177"/>
      <c r="AC19" s="177" t="e">
        <f t="shared" ref="AC19" si="39">AC20/((AD17-AC17)*24)</f>
        <v>#DIV/0!</v>
      </c>
      <c r="AD19" s="177"/>
      <c r="AE19" s="177" t="e">
        <f t="shared" ref="AE19" si="40">AE20/((AF17-AE17)*24)</f>
        <v>#DIV/0!</v>
      </c>
      <c r="AF19" s="177"/>
      <c r="AG19" s="177" t="e">
        <f t="shared" ref="AG19" si="41">AG20/((AH17-AG17)*24)</f>
        <v>#DIV/0!</v>
      </c>
      <c r="AH19" s="177"/>
      <c r="AI19" s="166"/>
    </row>
    <row r="20" spans="1:35">
      <c r="A20" s="190"/>
      <c r="B20" s="192"/>
      <c r="C20" s="194"/>
      <c r="D20" s="137" t="s">
        <v>33</v>
      </c>
      <c r="E20" s="168">
        <v>20</v>
      </c>
      <c r="F20" s="168">
        <v>20</v>
      </c>
      <c r="G20" s="168">
        <v>20</v>
      </c>
      <c r="H20" s="168">
        <v>20</v>
      </c>
      <c r="I20" s="168">
        <v>20</v>
      </c>
      <c r="J20" s="168">
        <v>20</v>
      </c>
      <c r="K20" s="168">
        <v>20</v>
      </c>
      <c r="L20" s="168">
        <v>20</v>
      </c>
      <c r="M20" s="168">
        <v>20</v>
      </c>
      <c r="N20" s="168">
        <v>20</v>
      </c>
      <c r="O20" s="168">
        <v>20</v>
      </c>
      <c r="P20" s="168">
        <v>20</v>
      </c>
      <c r="Q20" s="168">
        <v>20</v>
      </c>
      <c r="R20" s="168">
        <v>20</v>
      </c>
      <c r="S20" s="168">
        <v>20</v>
      </c>
      <c r="T20" s="168">
        <v>20</v>
      </c>
      <c r="U20" s="168">
        <v>20</v>
      </c>
      <c r="V20" s="168">
        <v>20</v>
      </c>
      <c r="W20" s="168">
        <v>20</v>
      </c>
      <c r="X20" s="168">
        <v>20</v>
      </c>
      <c r="Y20" s="168">
        <v>20</v>
      </c>
      <c r="Z20" s="168">
        <v>20</v>
      </c>
      <c r="AA20" s="168">
        <v>20</v>
      </c>
      <c r="AB20" s="168">
        <v>20</v>
      </c>
      <c r="AC20" s="168">
        <v>20</v>
      </c>
      <c r="AD20" s="168">
        <v>20</v>
      </c>
      <c r="AE20" s="168">
        <v>20</v>
      </c>
      <c r="AF20" s="168">
        <v>20</v>
      </c>
      <c r="AG20" s="168">
        <v>20</v>
      </c>
      <c r="AH20" s="168">
        <v>18</v>
      </c>
      <c r="AI20" s="153">
        <f>AH20/E20</f>
        <v>0.9</v>
      </c>
    </row>
    <row r="21" spans="1:35">
      <c r="A21" s="190"/>
      <c r="B21" s="192"/>
      <c r="C21" s="194"/>
      <c r="D21" s="138" t="s">
        <v>32</v>
      </c>
      <c r="E21" s="140">
        <f>E20-F20-F21</f>
        <v>0</v>
      </c>
      <c r="F21" s="143"/>
      <c r="G21" s="140">
        <f t="shared" ref="G21" si="42">G20-H20-H21</f>
        <v>0</v>
      </c>
      <c r="H21" s="143"/>
      <c r="I21" s="140">
        <f t="shared" ref="I21" si="43">I20-J20-J21</f>
        <v>0</v>
      </c>
      <c r="J21" s="143"/>
      <c r="K21" s="140">
        <f t="shared" ref="K21" si="44">K20-L20-L21</f>
        <v>0</v>
      </c>
      <c r="L21" s="143"/>
      <c r="M21" s="140">
        <f t="shared" ref="M21" si="45">M20-N20-N21</f>
        <v>0</v>
      </c>
      <c r="N21" s="143"/>
      <c r="O21" s="140">
        <f t="shared" ref="O21" si="46">O20-P20-P21</f>
        <v>-2</v>
      </c>
      <c r="P21" s="143">
        <v>2</v>
      </c>
      <c r="Q21" s="140">
        <f t="shared" ref="Q21" si="47">Q20-R20-R21</f>
        <v>0</v>
      </c>
      <c r="R21" s="143"/>
      <c r="S21" s="140">
        <f t="shared" ref="S21" si="48">S20-T20-T21</f>
        <v>0</v>
      </c>
      <c r="T21" s="143"/>
      <c r="U21" s="140">
        <f t="shared" ref="U21" si="49">U20-V20-V21</f>
        <v>0</v>
      </c>
      <c r="V21" s="143"/>
      <c r="W21" s="140">
        <f t="shared" ref="W21" si="50">W20-X20-X21</f>
        <v>0</v>
      </c>
      <c r="X21" s="143"/>
      <c r="Y21" s="140">
        <f t="shared" ref="Y21" si="51">Y20-Z20-Z21</f>
        <v>0</v>
      </c>
      <c r="Z21" s="143"/>
      <c r="AA21" s="140">
        <f t="shared" ref="AA21" si="52">AA20-AB20-AB21</f>
        <v>0</v>
      </c>
      <c r="AB21" s="143"/>
      <c r="AC21" s="140">
        <f t="shared" ref="AC21" si="53">AC20-AD20-AD21</f>
        <v>0</v>
      </c>
      <c r="AD21" s="143"/>
      <c r="AE21" s="140">
        <f t="shared" ref="AE21" si="54">AE20-AF20-AF21</f>
        <v>0</v>
      </c>
      <c r="AF21" s="143"/>
      <c r="AG21" s="140">
        <f t="shared" ref="AG21" si="55">AG20-AH20-AH21</f>
        <v>2</v>
      </c>
      <c r="AH21" s="143"/>
      <c r="AI21" s="153"/>
    </row>
    <row r="22" spans="1:35">
      <c r="A22" s="191"/>
      <c r="B22" s="193"/>
      <c r="C22" s="195"/>
      <c r="D22" s="55" t="s">
        <v>34</v>
      </c>
      <c r="E22" s="183">
        <f>F20/E20</f>
        <v>1</v>
      </c>
      <c r="F22" s="184"/>
      <c r="G22" s="183">
        <f>H20/G20</f>
        <v>1</v>
      </c>
      <c r="H22" s="184"/>
      <c r="I22" s="183">
        <f>J20/I20</f>
        <v>1</v>
      </c>
      <c r="J22" s="184"/>
      <c r="K22" s="183">
        <f>L20/K20</f>
        <v>1</v>
      </c>
      <c r="L22" s="184"/>
      <c r="M22" s="183">
        <f>N20/M20</f>
        <v>1</v>
      </c>
      <c r="N22" s="184"/>
      <c r="O22" s="183">
        <f>P20/O20</f>
        <v>1</v>
      </c>
      <c r="P22" s="184"/>
      <c r="Q22" s="183">
        <f>R20/Q20</f>
        <v>1</v>
      </c>
      <c r="R22" s="184"/>
      <c r="S22" s="183">
        <f>T20/S20</f>
        <v>1</v>
      </c>
      <c r="T22" s="184"/>
      <c r="U22" s="183">
        <f>V20/U20</f>
        <v>1</v>
      </c>
      <c r="V22" s="184"/>
      <c r="W22" s="183">
        <f>X20/W20</f>
        <v>1</v>
      </c>
      <c r="X22" s="184"/>
      <c r="Y22" s="183">
        <f>Z20/Y20</f>
        <v>1</v>
      </c>
      <c r="Z22" s="184"/>
      <c r="AA22" s="183">
        <f>AB20/AA20</f>
        <v>1</v>
      </c>
      <c r="AB22" s="184"/>
      <c r="AC22" s="183">
        <f>AD20/AC20</f>
        <v>1</v>
      </c>
      <c r="AD22" s="184"/>
      <c r="AE22" s="183">
        <f>AF20/AE20</f>
        <v>1</v>
      </c>
      <c r="AF22" s="184"/>
      <c r="AG22" s="183">
        <f>AH20/AG20</f>
        <v>0.9</v>
      </c>
      <c r="AH22" s="184"/>
      <c r="AI22" s="154"/>
    </row>
    <row r="23" spans="1:35">
      <c r="D23" s="155" t="s">
        <v>35</v>
      </c>
      <c r="E23" s="156">
        <f>SUM(E10,E20)</f>
        <v>40</v>
      </c>
      <c r="F23" s="157">
        <f>SUM(F10,F20)</f>
        <v>38</v>
      </c>
      <c r="G23" s="157">
        <f>SUM(G10,G20)</f>
        <v>38</v>
      </c>
      <c r="H23" s="157">
        <f>SUM(H10,H20)</f>
        <v>38</v>
      </c>
      <c r="I23" s="157">
        <f>SUM(I10,I20)</f>
        <v>38</v>
      </c>
      <c r="J23" s="157">
        <f>SUM(J10,J20)</f>
        <v>38</v>
      </c>
      <c r="K23" s="157">
        <f>SUM(K10,K20)</f>
        <v>38</v>
      </c>
      <c r="L23" s="157">
        <f>SUM(L10,L20)</f>
        <v>38</v>
      </c>
      <c r="M23" s="157">
        <f>SUM(M10,M20)</f>
        <v>38</v>
      </c>
      <c r="N23" s="157">
        <f>SUM(N10,N20)</f>
        <v>35</v>
      </c>
      <c r="O23" s="157">
        <f>SUM(O10,O20)</f>
        <v>35</v>
      </c>
      <c r="P23" s="157">
        <f>SUM(P10,P20)</f>
        <v>35</v>
      </c>
      <c r="Q23" s="157">
        <f>SUM(Q10,Q20)</f>
        <v>35</v>
      </c>
      <c r="R23" s="157">
        <f>SUM(R10,R20)</f>
        <v>35</v>
      </c>
      <c r="S23" s="157">
        <f>SUM(S10,S20)</f>
        <v>35</v>
      </c>
      <c r="T23" s="157">
        <f>SUM(T10,T20)</f>
        <v>32</v>
      </c>
      <c r="U23" s="157">
        <f>SUM(U10,U20)</f>
        <v>32</v>
      </c>
      <c r="V23" s="157">
        <f>SUM(V10,V20)</f>
        <v>26</v>
      </c>
      <c r="W23" s="157">
        <f>SUM(W10,W20)</f>
        <v>26</v>
      </c>
      <c r="X23" s="157">
        <f>SUM(X10,X20)</f>
        <v>26</v>
      </c>
      <c r="Y23" s="157">
        <f>SUM(Y10,Y20)</f>
        <v>26</v>
      </c>
      <c r="Z23" s="157">
        <f>SUM(Z10,Z20)</f>
        <v>26</v>
      </c>
      <c r="AA23" s="157">
        <f>SUM(AA10,AA20)</f>
        <v>26</v>
      </c>
      <c r="AB23" s="157">
        <f>SUM(AB10,AB20)</f>
        <v>26</v>
      </c>
      <c r="AC23" s="157">
        <f>SUM(AC10,AC20)</f>
        <v>26</v>
      </c>
      <c r="AD23" s="157">
        <f>SUM(AD10,AD20)</f>
        <v>26</v>
      </c>
      <c r="AE23" s="157">
        <f>SUM(AE10,AE20)</f>
        <v>26</v>
      </c>
      <c r="AF23" s="157">
        <f>SUM(AF10,AF20)</f>
        <v>26</v>
      </c>
      <c r="AG23" s="157">
        <f>SUM(AG10,AG20)</f>
        <v>26</v>
      </c>
      <c r="AH23" s="157">
        <f>SUM(AH10,AH20)</f>
        <v>19</v>
      </c>
      <c r="AI23" s="158" cm="1">
        <f t="array" ref="AI23">AVERAGE(IF(AI3:AI12&lt;&gt;0, AI3:AI12))</f>
        <v>0.05</v>
      </c>
    </row>
    <row r="24" spans="1:35">
      <c r="D24" s="159" t="s">
        <v>36</v>
      </c>
      <c r="E24" s="173">
        <f>F23/E23</f>
        <v>0.95</v>
      </c>
      <c r="F24" s="174"/>
      <c r="G24" s="174">
        <f>H23/G23</f>
        <v>1</v>
      </c>
      <c r="H24" s="174"/>
      <c r="I24" s="174">
        <f>J23/I23</f>
        <v>1</v>
      </c>
      <c r="J24" s="174"/>
      <c r="K24" s="174">
        <f t="shared" ref="K24" si="56">L23/K23</f>
        <v>1</v>
      </c>
      <c r="L24" s="174"/>
      <c r="M24" s="174">
        <f t="shared" ref="M24" si="57">N23/M23</f>
        <v>0.92105263157894735</v>
      </c>
      <c r="N24" s="174"/>
      <c r="O24" s="174">
        <f t="shared" ref="O24" si="58">P23/O23</f>
        <v>1</v>
      </c>
      <c r="P24" s="174"/>
      <c r="Q24" s="174">
        <f t="shared" ref="Q24" si="59">R23/Q23</f>
        <v>1</v>
      </c>
      <c r="R24" s="174"/>
      <c r="S24" s="174">
        <f t="shared" ref="S24" si="60">T23/S23</f>
        <v>0.91428571428571426</v>
      </c>
      <c r="T24" s="174"/>
      <c r="U24" s="174">
        <f t="shared" ref="U24" si="61">V23/U23</f>
        <v>0.8125</v>
      </c>
      <c r="V24" s="174"/>
      <c r="W24" s="174">
        <f t="shared" ref="W24" si="62">X23/W23</f>
        <v>1</v>
      </c>
      <c r="X24" s="174"/>
      <c r="Y24" s="174">
        <f t="shared" ref="Y24" si="63">Z23/Y23</f>
        <v>1</v>
      </c>
      <c r="Z24" s="174"/>
      <c r="AA24" s="174">
        <f t="shared" ref="AA24" si="64">AB23/AA23</f>
        <v>1</v>
      </c>
      <c r="AB24" s="174"/>
      <c r="AC24" s="174">
        <f t="shared" ref="AC24" si="65">AD23/AC23</f>
        <v>1</v>
      </c>
      <c r="AD24" s="174"/>
      <c r="AE24" s="174">
        <f>AF23/AE23</f>
        <v>1</v>
      </c>
      <c r="AF24" s="174"/>
      <c r="AG24" s="174">
        <f>AH23/AG23</f>
        <v>0.73076923076923073</v>
      </c>
      <c r="AH24" s="174"/>
      <c r="AI24" s="160"/>
    </row>
  </sheetData>
  <sheetProtection sheet="1" objects="1" scenarios="1"/>
  <mergeCells count="217">
    <mergeCell ref="AG2:AH2"/>
    <mergeCell ref="AG3:AH3"/>
    <mergeCell ref="AG4:AH4"/>
    <mergeCell ref="AG5:AH5"/>
    <mergeCell ref="AG15:AH15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O4:P4"/>
    <mergeCell ref="O5:P5"/>
    <mergeCell ref="Q4:R4"/>
    <mergeCell ref="Q5:R5"/>
    <mergeCell ref="S4:T4"/>
    <mergeCell ref="K4:L4"/>
    <mergeCell ref="K5:L5"/>
    <mergeCell ref="M4:N4"/>
    <mergeCell ref="M5:N5"/>
    <mergeCell ref="S5:T5"/>
    <mergeCell ref="U4:V4"/>
    <mergeCell ref="U5:V5"/>
    <mergeCell ref="W4:X4"/>
    <mergeCell ref="W5:X5"/>
    <mergeCell ref="E4:F4"/>
    <mergeCell ref="E5:F5"/>
    <mergeCell ref="E8:F8"/>
    <mergeCell ref="G4:H4"/>
    <mergeCell ref="G5:H5"/>
    <mergeCell ref="G8:H8"/>
    <mergeCell ref="I4:J4"/>
    <mergeCell ref="I5:J5"/>
    <mergeCell ref="I8:J8"/>
    <mergeCell ref="A13:A22"/>
    <mergeCell ref="B13:B22"/>
    <mergeCell ref="C13:C22"/>
    <mergeCell ref="E15:F15"/>
    <mergeCell ref="G15:H15"/>
    <mergeCell ref="I15:J15"/>
    <mergeCell ref="K15:L15"/>
    <mergeCell ref="M15:N15"/>
    <mergeCell ref="E1:U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E12:F12"/>
    <mergeCell ref="K12:L12"/>
    <mergeCell ref="M12:N12"/>
    <mergeCell ref="O12:P12"/>
    <mergeCell ref="Q12:R12"/>
    <mergeCell ref="K3:L3"/>
    <mergeCell ref="W2:X2"/>
    <mergeCell ref="Y2:Z2"/>
    <mergeCell ref="AA2:AB2"/>
    <mergeCell ref="AC2:AD2"/>
    <mergeCell ref="AE2:AF2"/>
    <mergeCell ref="W3:X3"/>
    <mergeCell ref="Y3:Z3"/>
    <mergeCell ref="AA3:AB3"/>
    <mergeCell ref="AC3:AD3"/>
    <mergeCell ref="AE3:AF3"/>
    <mergeCell ref="Q3:R3"/>
    <mergeCell ref="S3:T3"/>
    <mergeCell ref="U3:V3"/>
    <mergeCell ref="AE12:AF12"/>
    <mergeCell ref="S12:T12"/>
    <mergeCell ref="U12:V12"/>
    <mergeCell ref="W12:X12"/>
    <mergeCell ref="Y12:Z12"/>
    <mergeCell ref="AA12:AB12"/>
    <mergeCell ref="AC12:AD12"/>
    <mergeCell ref="W8:X8"/>
    <mergeCell ref="Y8:Z8"/>
    <mergeCell ref="AA8:AB8"/>
    <mergeCell ref="AC8:AD8"/>
    <mergeCell ref="AE8:AF8"/>
    <mergeCell ref="AC4:AD4"/>
    <mergeCell ref="AC5:AD5"/>
    <mergeCell ref="AE4:AF4"/>
    <mergeCell ref="AE5:AF5"/>
    <mergeCell ref="Y4:Z4"/>
    <mergeCell ref="Y5:Z5"/>
    <mergeCell ref="AA4:AB4"/>
    <mergeCell ref="AA5:AB5"/>
    <mergeCell ref="A3:A12"/>
    <mergeCell ref="B3:B12"/>
    <mergeCell ref="C3:C12"/>
    <mergeCell ref="E3:F3"/>
    <mergeCell ref="G3:H3"/>
    <mergeCell ref="I3:J3"/>
    <mergeCell ref="AA24:AB24"/>
    <mergeCell ref="K24:L24"/>
    <mergeCell ref="M24:N24"/>
    <mergeCell ref="O24:P24"/>
    <mergeCell ref="G13:H13"/>
    <mergeCell ref="I13:J13"/>
    <mergeCell ref="K13:L13"/>
    <mergeCell ref="S14:T14"/>
    <mergeCell ref="U14:V14"/>
    <mergeCell ref="W14:X14"/>
    <mergeCell ref="Y14:Z14"/>
    <mergeCell ref="AA14:AB14"/>
    <mergeCell ref="G14:H14"/>
    <mergeCell ref="I14:J14"/>
    <mergeCell ref="K14:L14"/>
    <mergeCell ref="M14:N14"/>
    <mergeCell ref="M3:N3"/>
    <mergeCell ref="O3:P3"/>
    <mergeCell ref="AG8:AH8"/>
    <mergeCell ref="Q24:R24"/>
    <mergeCell ref="S24:T24"/>
    <mergeCell ref="U24:V24"/>
    <mergeCell ref="W24:X24"/>
    <mergeCell ref="Y24:Z24"/>
    <mergeCell ref="AA13:AB13"/>
    <mergeCell ref="AC13:AD13"/>
    <mergeCell ref="AE13:AF13"/>
    <mergeCell ref="AG13:AH13"/>
    <mergeCell ref="Q13:R13"/>
    <mergeCell ref="S13:T13"/>
    <mergeCell ref="U13:V13"/>
    <mergeCell ref="W13:X13"/>
    <mergeCell ref="Y13:Z13"/>
    <mergeCell ref="AC14:AD14"/>
    <mergeCell ref="AE14:AF14"/>
    <mergeCell ref="AG14:AH14"/>
    <mergeCell ref="Q14:R14"/>
    <mergeCell ref="AG18:AH18"/>
    <mergeCell ref="E22:F22"/>
    <mergeCell ref="G22:H22"/>
    <mergeCell ref="I22:J22"/>
    <mergeCell ref="K22:L22"/>
    <mergeCell ref="M22:N22"/>
    <mergeCell ref="AA18:AB18"/>
    <mergeCell ref="AC18:AD18"/>
    <mergeCell ref="AE18:AF18"/>
    <mergeCell ref="E19:F19"/>
    <mergeCell ref="G19:H19"/>
    <mergeCell ref="I19:J19"/>
    <mergeCell ref="AA22:AB22"/>
    <mergeCell ref="AC22:AD22"/>
    <mergeCell ref="AE22:AF22"/>
    <mergeCell ref="AG22:AH22"/>
    <mergeCell ref="O22:P22"/>
    <mergeCell ref="Q22:R22"/>
    <mergeCell ref="S22:T22"/>
    <mergeCell ref="U22:V22"/>
    <mergeCell ref="W22:X22"/>
    <mergeCell ref="Y22:Z22"/>
    <mergeCell ref="W18:X18"/>
    <mergeCell ref="Y18:Z18"/>
    <mergeCell ref="E18:F18"/>
    <mergeCell ref="G18:H18"/>
    <mergeCell ref="I18:J18"/>
    <mergeCell ref="K18:L18"/>
    <mergeCell ref="M18:N18"/>
    <mergeCell ref="O14:P14"/>
    <mergeCell ref="E14:F14"/>
    <mergeCell ref="W19:X19"/>
    <mergeCell ref="Y19:Z19"/>
    <mergeCell ref="AA19:AB19"/>
    <mergeCell ref="AC19:AD19"/>
    <mergeCell ref="AE19:AF19"/>
    <mergeCell ref="AG19:AH19"/>
    <mergeCell ref="AG24:AH24"/>
    <mergeCell ref="K19:L19"/>
    <mergeCell ref="M19:N19"/>
    <mergeCell ref="O19:P19"/>
    <mergeCell ref="Q19:R19"/>
    <mergeCell ref="S19:T19"/>
    <mergeCell ref="U19:V19"/>
    <mergeCell ref="AC24:AD24"/>
    <mergeCell ref="AE24:AF24"/>
    <mergeCell ref="E24:F24"/>
    <mergeCell ref="G24:H24"/>
    <mergeCell ref="I24:J24"/>
    <mergeCell ref="K8:L8"/>
    <mergeCell ref="M8:N8"/>
    <mergeCell ref="O8:P8"/>
    <mergeCell ref="Q8:R8"/>
    <mergeCell ref="S8:T8"/>
    <mergeCell ref="U8:V8"/>
    <mergeCell ref="E13:F13"/>
    <mergeCell ref="O18:P18"/>
    <mergeCell ref="Q18:R18"/>
    <mergeCell ref="S18:T18"/>
    <mergeCell ref="U18:V18"/>
    <mergeCell ref="M13:N13"/>
    <mergeCell ref="O13:P13"/>
    <mergeCell ref="G12:H12"/>
    <mergeCell ref="I12:J12"/>
    <mergeCell ref="AG9:AH9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2:AH12"/>
  </mergeCells>
  <conditionalFormatting sqref="E12:AH12 E22:AH2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AH2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AH20">
    <cfRule type="cellIs" dxfId="10" priority="2" operator="greaterThan">
      <formula>0</formula>
    </cfRule>
  </conditionalFormatting>
  <conditionalFormatting sqref="E10:AH10">
    <cfRule type="cellIs" dxfId="9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5F19-1F80-4E4C-817B-B5A9384637E5}">
  <dimension ref="A1:AU9"/>
  <sheetViews>
    <sheetView workbookViewId="0">
      <pane xSplit="1" ySplit="2" topLeftCell="B3" activePane="bottomRight" state="frozen"/>
      <selection pane="bottomRight" activeCell="F30" sqref="F29:F30"/>
      <selection pane="bottomLeft"/>
      <selection pane="topRight"/>
    </sheetView>
  </sheetViews>
  <sheetFormatPr defaultColWidth="9.140625" defaultRowHeight="15"/>
  <cols>
    <col min="1" max="1" width="11.28515625" customWidth="1"/>
    <col min="4" max="4" width="21" customWidth="1"/>
    <col min="5" max="33" width="9.140625" style="13"/>
    <col min="34" max="34" width="10.28515625" style="13" customWidth="1"/>
    <col min="35" max="16384" width="9.140625" style="13"/>
  </cols>
  <sheetData>
    <row r="1" spans="1:47">
      <c r="A1" s="49" t="s">
        <v>37</v>
      </c>
      <c r="B1" s="48" t="s">
        <v>38</v>
      </c>
      <c r="C1" s="58" t="s">
        <v>39</v>
      </c>
      <c r="E1" s="206" t="s">
        <v>2</v>
      </c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</row>
    <row r="2" spans="1:47" ht="41.25" customHeight="1">
      <c r="A2" s="11" t="s">
        <v>3</v>
      </c>
      <c r="B2" s="7" t="s">
        <v>4</v>
      </c>
      <c r="C2" s="7" t="s">
        <v>5</v>
      </c>
      <c r="D2" s="2"/>
      <c r="E2" s="207"/>
      <c r="F2" s="201"/>
      <c r="G2" s="207"/>
      <c r="H2" s="201"/>
      <c r="I2" s="207"/>
      <c r="J2" s="201"/>
      <c r="K2" s="207"/>
      <c r="L2" s="201"/>
      <c r="M2" s="207"/>
      <c r="N2" s="201"/>
      <c r="O2" s="207"/>
      <c r="P2" s="201"/>
      <c r="Q2" s="207"/>
      <c r="R2" s="201"/>
      <c r="S2" s="207"/>
      <c r="T2" s="201"/>
      <c r="U2" s="207"/>
      <c r="V2" s="201"/>
      <c r="W2" s="207"/>
      <c r="X2" s="201"/>
      <c r="Y2" s="212"/>
      <c r="Z2" s="213"/>
      <c r="AA2" s="214"/>
      <c r="AB2" s="215"/>
      <c r="AC2" s="210"/>
      <c r="AD2" s="216"/>
      <c r="AE2" s="209"/>
      <c r="AF2" s="209"/>
      <c r="AG2" s="208"/>
      <c r="AH2" s="209"/>
      <c r="AI2" s="208"/>
      <c r="AJ2" s="209"/>
      <c r="AK2" s="208"/>
      <c r="AL2" s="209"/>
      <c r="AM2" s="208"/>
      <c r="AN2" s="209"/>
      <c r="AO2" s="208"/>
      <c r="AP2" s="209"/>
      <c r="AQ2" s="210"/>
      <c r="AR2" s="211"/>
      <c r="AS2" s="210"/>
      <c r="AT2" s="211"/>
      <c r="AU2" s="68" t="s">
        <v>22</v>
      </c>
    </row>
    <row r="3" spans="1:47" s="14" customFormat="1">
      <c r="A3" s="219">
        <v>120048945</v>
      </c>
      <c r="B3" s="220">
        <v>20</v>
      </c>
      <c r="C3" s="221" t="s">
        <v>37</v>
      </c>
      <c r="D3" s="8" t="s">
        <v>40</v>
      </c>
      <c r="E3" s="217">
        <v>46049</v>
      </c>
      <c r="F3" s="218"/>
      <c r="G3" s="217">
        <f>WORKDAY.INTL(E3,1,11)</f>
        <v>46050</v>
      </c>
      <c r="H3" s="218"/>
      <c r="I3" s="217">
        <f>WORKDAY.INTL(G3,0,11)</f>
        <v>46050</v>
      </c>
      <c r="J3" s="218"/>
      <c r="K3" s="217">
        <f>WORKDAY.INTL(I3,0,11)</f>
        <v>46050</v>
      </c>
      <c r="L3" s="218"/>
      <c r="M3" s="217">
        <f>WORKDAY.INTL(K3,0,11)</f>
        <v>46050</v>
      </c>
      <c r="N3" s="218"/>
      <c r="O3" s="217">
        <f>WORKDAY.INTL(M3,1,11)</f>
        <v>46051</v>
      </c>
      <c r="P3" s="218"/>
      <c r="Q3" s="217">
        <f>WORKDAY.INTL(O3,0,11)</f>
        <v>46051</v>
      </c>
      <c r="R3" s="218"/>
      <c r="S3" s="217">
        <f>WORKDAY.INTL(Q3,0,11)</f>
        <v>46051</v>
      </c>
      <c r="T3" s="218"/>
      <c r="U3" s="217">
        <f>WORKDAY.INTL(S3,0,11)</f>
        <v>46051</v>
      </c>
      <c r="V3" s="218"/>
      <c r="W3" s="217">
        <f>WORKDAY.INTL(U3,0,11)</f>
        <v>46051</v>
      </c>
      <c r="X3" s="218"/>
      <c r="Y3" s="217">
        <f t="shared" ref="Y3" si="0">WORKDAY.INTL(W3,1,11)</f>
        <v>46052</v>
      </c>
      <c r="Z3" s="218"/>
      <c r="AA3" s="217">
        <f>WORKDAY.INTL(Y3,0,11)</f>
        <v>46052</v>
      </c>
      <c r="AB3" s="218"/>
      <c r="AC3" s="217">
        <f t="shared" ref="AC3" si="1">WORKDAY.INTL(AA3,1,11)</f>
        <v>46053</v>
      </c>
      <c r="AD3" s="218"/>
      <c r="AE3" s="217">
        <f>WORKDAY.INTL(AC3,1,11)</f>
        <v>46055</v>
      </c>
      <c r="AF3" s="218"/>
      <c r="AG3" s="217">
        <f>WORKDAY.INTL(AE3,0,11)</f>
        <v>46055</v>
      </c>
      <c r="AH3" s="218"/>
      <c r="AI3" s="217">
        <f>WORKDAY.INTL(AG3,0,11)</f>
        <v>46055</v>
      </c>
      <c r="AJ3" s="218"/>
      <c r="AK3" s="217">
        <f>WORKDAY.INTL(AI3,0,11)</f>
        <v>46055</v>
      </c>
      <c r="AL3" s="218"/>
      <c r="AM3" s="217">
        <f>WORKDAY.INTL(AK3,0,11)</f>
        <v>46055</v>
      </c>
      <c r="AN3" s="218"/>
      <c r="AO3" s="217">
        <f>WORKDAY.INTL(AM3,1,11)</f>
        <v>46056</v>
      </c>
      <c r="AP3" s="218"/>
      <c r="AQ3" s="217">
        <f>WORKDAY.INTL(AO3,0,11)</f>
        <v>46056</v>
      </c>
      <c r="AR3" s="218"/>
      <c r="AS3" s="217">
        <f>WORKDAY.INTL(AQ3,0,11)</f>
        <v>46056</v>
      </c>
      <c r="AT3" s="218"/>
      <c r="AU3" s="67"/>
    </row>
    <row r="4" spans="1:47" s="15" customFormat="1">
      <c r="A4" s="194"/>
      <c r="B4" s="192"/>
      <c r="C4" s="194"/>
      <c r="D4" s="9" t="s">
        <v>41</v>
      </c>
      <c r="E4" s="222"/>
      <c r="F4" s="223"/>
      <c r="G4" s="222"/>
      <c r="H4" s="223"/>
      <c r="I4" s="222"/>
      <c r="J4" s="223"/>
      <c r="K4" s="222"/>
      <c r="L4" s="223"/>
      <c r="M4" s="222"/>
      <c r="N4" s="223"/>
      <c r="O4" s="226">
        <v>46056</v>
      </c>
      <c r="P4" s="227"/>
      <c r="Q4" s="228">
        <v>46057</v>
      </c>
      <c r="R4" s="229"/>
      <c r="S4" s="228">
        <v>46057</v>
      </c>
      <c r="T4" s="229"/>
      <c r="U4" s="228">
        <v>46057</v>
      </c>
      <c r="V4" s="229"/>
      <c r="W4" s="224">
        <v>46057</v>
      </c>
      <c r="X4" s="225"/>
      <c r="Y4" s="224">
        <v>46058</v>
      </c>
      <c r="Z4" s="225"/>
      <c r="AA4" s="224">
        <v>46059</v>
      </c>
      <c r="AB4" s="225"/>
      <c r="AC4" s="224">
        <v>46062</v>
      </c>
      <c r="AD4" s="225"/>
      <c r="AE4" s="224">
        <v>46062</v>
      </c>
      <c r="AF4" s="225"/>
      <c r="AG4" s="224">
        <v>46063</v>
      </c>
      <c r="AH4" s="225"/>
      <c r="AI4" s="224">
        <v>46063</v>
      </c>
      <c r="AJ4" s="225"/>
      <c r="AK4" s="224">
        <v>46064</v>
      </c>
      <c r="AL4" s="225"/>
      <c r="AM4" s="224">
        <v>46064</v>
      </c>
      <c r="AN4" s="225"/>
      <c r="AO4" s="224">
        <v>46065</v>
      </c>
      <c r="AP4" s="225"/>
      <c r="AQ4" s="224">
        <v>46065</v>
      </c>
      <c r="AR4" s="225"/>
      <c r="AS4" s="224">
        <v>46065</v>
      </c>
      <c r="AT4" s="225"/>
    </row>
    <row r="5" spans="1:47" s="15" customFormat="1">
      <c r="A5" s="194"/>
      <c r="B5" s="192"/>
      <c r="C5" s="194"/>
      <c r="D5" s="9" t="s">
        <v>33</v>
      </c>
      <c r="E5" s="17">
        <v>20</v>
      </c>
      <c r="F5" s="17">
        <v>20</v>
      </c>
      <c r="G5" s="17">
        <v>20</v>
      </c>
      <c r="H5" s="17">
        <v>20</v>
      </c>
      <c r="I5" s="17">
        <v>20</v>
      </c>
      <c r="J5" s="18">
        <v>20</v>
      </c>
      <c r="K5" s="17">
        <f>J5</f>
        <v>20</v>
      </c>
      <c r="L5" s="17">
        <v>20</v>
      </c>
      <c r="M5" s="17">
        <v>20</v>
      </c>
      <c r="N5" s="17">
        <v>20</v>
      </c>
      <c r="O5" s="17">
        <v>20</v>
      </c>
      <c r="P5" s="19">
        <v>18</v>
      </c>
      <c r="Q5" s="17">
        <v>18</v>
      </c>
      <c r="R5" s="20">
        <v>18</v>
      </c>
      <c r="S5" s="17">
        <f>R5</f>
        <v>18</v>
      </c>
      <c r="T5" s="20">
        <v>18</v>
      </c>
      <c r="U5" s="17">
        <f>T5</f>
        <v>18</v>
      </c>
      <c r="V5" s="20">
        <v>18</v>
      </c>
      <c r="W5" s="17">
        <f>V5</f>
        <v>18</v>
      </c>
      <c r="X5" s="17">
        <f>W5</f>
        <v>18</v>
      </c>
      <c r="Y5" s="17">
        <f>X5</f>
        <v>18</v>
      </c>
      <c r="Z5" s="17">
        <f>Y5</f>
        <v>18</v>
      </c>
      <c r="AA5" s="17">
        <f>Z5</f>
        <v>18</v>
      </c>
      <c r="AB5" s="17">
        <f>AA5</f>
        <v>18</v>
      </c>
      <c r="AC5" s="17">
        <f>AB5</f>
        <v>18</v>
      </c>
      <c r="AD5" s="17">
        <f>AC5</f>
        <v>18</v>
      </c>
      <c r="AE5" s="17">
        <f>AD5</f>
        <v>18</v>
      </c>
      <c r="AF5" s="17">
        <f>AE5</f>
        <v>18</v>
      </c>
      <c r="AG5" s="17">
        <f>AF5</f>
        <v>18</v>
      </c>
      <c r="AH5" s="17">
        <f>AG5</f>
        <v>18</v>
      </c>
      <c r="AI5" s="17">
        <f>AH5</f>
        <v>18</v>
      </c>
      <c r="AJ5" s="17">
        <f>AI5</f>
        <v>18</v>
      </c>
      <c r="AK5" s="17">
        <f>AJ5</f>
        <v>18</v>
      </c>
      <c r="AL5" s="17">
        <f>AK5</f>
        <v>18</v>
      </c>
      <c r="AM5" s="17">
        <f>AL5</f>
        <v>18</v>
      </c>
      <c r="AN5" s="17">
        <f>AM5</f>
        <v>18</v>
      </c>
      <c r="AO5" s="17">
        <f>AN5</f>
        <v>18</v>
      </c>
      <c r="AP5" s="17">
        <f>AO5</f>
        <v>18</v>
      </c>
      <c r="AQ5" s="17">
        <f>AP5</f>
        <v>18</v>
      </c>
      <c r="AR5" s="17">
        <f>AQ5</f>
        <v>18</v>
      </c>
      <c r="AS5" s="17">
        <f>AR5</f>
        <v>18</v>
      </c>
      <c r="AT5" s="17">
        <f>AS5</f>
        <v>18</v>
      </c>
      <c r="AU5" s="69">
        <f>AT5/E5</f>
        <v>0.9</v>
      </c>
    </row>
    <row r="6" spans="1:47" s="16" customFormat="1">
      <c r="A6" s="195"/>
      <c r="B6" s="193"/>
      <c r="C6" s="195"/>
      <c r="D6" s="10" t="s">
        <v>22</v>
      </c>
      <c r="E6" s="185">
        <f>F5/E5</f>
        <v>1</v>
      </c>
      <c r="F6" s="186"/>
      <c r="G6" s="185">
        <f>H5/G5</f>
        <v>1</v>
      </c>
      <c r="H6" s="186"/>
      <c r="I6" s="185">
        <f>J5/I5</f>
        <v>1</v>
      </c>
      <c r="J6" s="186"/>
      <c r="K6" s="185">
        <f>L5/K5</f>
        <v>1</v>
      </c>
      <c r="L6" s="186"/>
      <c r="M6" s="185">
        <f>N5/M5</f>
        <v>1</v>
      </c>
      <c r="N6" s="186"/>
      <c r="O6" s="185">
        <f>P5/O5</f>
        <v>0.9</v>
      </c>
      <c r="P6" s="186"/>
      <c r="Q6" s="185">
        <f>R5/Q5</f>
        <v>1</v>
      </c>
      <c r="R6" s="186"/>
      <c r="S6" s="185">
        <f>T5/S5</f>
        <v>1</v>
      </c>
      <c r="T6" s="186"/>
      <c r="U6" s="185">
        <f>V5/U5</f>
        <v>1</v>
      </c>
      <c r="V6" s="186"/>
      <c r="W6" s="185">
        <f>X5/W5</f>
        <v>1</v>
      </c>
      <c r="X6" s="186"/>
      <c r="Y6" s="185">
        <f>Z5/Y5</f>
        <v>1</v>
      </c>
      <c r="Z6" s="186"/>
      <c r="AA6" s="185">
        <f>AB5/AA5</f>
        <v>1</v>
      </c>
      <c r="AB6" s="186"/>
      <c r="AC6" s="185">
        <f>AD5/AC5</f>
        <v>1</v>
      </c>
      <c r="AD6" s="186"/>
      <c r="AE6" s="185">
        <f>AF5/AE5</f>
        <v>1</v>
      </c>
      <c r="AF6" s="186"/>
      <c r="AG6" s="185">
        <f>AH5/AG5</f>
        <v>1</v>
      </c>
      <c r="AH6" s="186"/>
      <c r="AI6" s="185">
        <f>AJ5/AI5</f>
        <v>1</v>
      </c>
      <c r="AJ6" s="186"/>
      <c r="AK6" s="185">
        <f>AL5/AK5</f>
        <v>1</v>
      </c>
      <c r="AL6" s="186"/>
      <c r="AM6" s="185">
        <f>AN5/AM5</f>
        <v>1</v>
      </c>
      <c r="AN6" s="186"/>
      <c r="AO6" s="185">
        <f>AP5/AO5</f>
        <v>1</v>
      </c>
      <c r="AP6" s="186"/>
      <c r="AQ6" s="185">
        <f>AR5/AQ5</f>
        <v>1</v>
      </c>
      <c r="AR6" s="186"/>
      <c r="AS6" s="185">
        <f>AT5/AS5</f>
        <v>1</v>
      </c>
      <c r="AT6" s="186"/>
      <c r="AU6" s="66"/>
    </row>
    <row r="8" spans="1:47">
      <c r="E8" s="123">
        <f>SUM(E5)</f>
        <v>20</v>
      </c>
      <c r="F8" s="123">
        <f>SUM(F5)</f>
        <v>20</v>
      </c>
      <c r="G8" s="123">
        <f>SUM(G5)</f>
        <v>20</v>
      </c>
      <c r="H8" s="123">
        <f>SUM(H5)</f>
        <v>20</v>
      </c>
      <c r="I8" s="123" t="e">
        <f>SUM(I5,#REF!,#REF!,#REF!,#REF!,#REF!,#REF!,#REF!,#REF!,#REF!,#REF!,#REF!,#REF!,#REF!,#REF!,#REF!,#REF!,#REF!,#REF!,#REF!,#REF!,#REF!,#REF!,#REF!,#REF!,#REF!,#REF!,#REF!)</f>
        <v>#REF!</v>
      </c>
      <c r="J8" s="123" t="e">
        <f>SUM(J5,#REF!,#REF!,#REF!,#REF!,#REF!,#REF!,#REF!,#REF!,#REF!,#REF!,#REF!,#REF!,#REF!,#REF!,#REF!,#REF!,#REF!,#REF!,#REF!,#REF!,#REF!,#REF!,#REF!,#REF!,#REF!,#REF!,#REF!)</f>
        <v>#REF!</v>
      </c>
      <c r="K8" s="123" t="e">
        <f>SUM(K5,#REF!,#REF!,#REF!,#REF!,#REF!,#REF!,#REF!,#REF!,#REF!,#REF!,#REF!,#REF!,#REF!,#REF!,#REF!,#REF!,#REF!,#REF!,#REF!,#REF!,#REF!,#REF!,#REF!,#REF!,#REF!,#REF!,#REF!)</f>
        <v>#REF!</v>
      </c>
      <c r="L8" s="123" t="e">
        <f>SUM(L5,#REF!,#REF!,#REF!,#REF!,#REF!,#REF!,#REF!,#REF!,#REF!,#REF!,#REF!,#REF!,#REF!,#REF!,#REF!,#REF!,#REF!,#REF!,#REF!,#REF!,#REF!,#REF!,#REF!,#REF!,#REF!,#REF!,#REF!)</f>
        <v>#REF!</v>
      </c>
      <c r="M8" s="123" t="e">
        <f>SUM(M5,#REF!,#REF!,#REF!,#REF!,#REF!,#REF!,#REF!,#REF!,#REF!,#REF!,#REF!,#REF!,#REF!,#REF!,#REF!,#REF!,#REF!,#REF!,#REF!,#REF!,#REF!,#REF!,#REF!,#REF!,#REF!,#REF!,#REF!)</f>
        <v>#REF!</v>
      </c>
      <c r="N8" s="123" t="e">
        <f>SUM(N5,#REF!,#REF!,#REF!,#REF!,#REF!,#REF!,#REF!,#REF!,#REF!,#REF!,#REF!,#REF!,#REF!,#REF!,#REF!,#REF!,#REF!,#REF!,#REF!,#REF!,#REF!,#REF!,#REF!,#REF!,#REF!,#REF!,#REF!)</f>
        <v>#REF!</v>
      </c>
      <c r="O8" s="123" t="e">
        <f>SUM(O5,#REF!,#REF!,#REF!,#REF!,#REF!,#REF!,#REF!,#REF!,#REF!,#REF!,#REF!,#REF!,#REF!,#REF!,#REF!,#REF!,#REF!,#REF!,#REF!,#REF!,#REF!,#REF!,#REF!,#REF!,#REF!,#REF!,#REF!)</f>
        <v>#REF!</v>
      </c>
      <c r="P8" s="123" t="e">
        <f>SUM(P5,#REF!,#REF!,#REF!,#REF!,#REF!,#REF!,#REF!,#REF!,#REF!,#REF!,#REF!,#REF!,#REF!,#REF!,#REF!,#REF!,#REF!,#REF!,#REF!,#REF!,#REF!,#REF!,#REF!,#REF!,#REF!,#REF!,#REF!)</f>
        <v>#REF!</v>
      </c>
      <c r="Q8" s="123" t="e">
        <f>SUM(Q5,#REF!,#REF!,#REF!,#REF!,#REF!,#REF!,#REF!,#REF!,#REF!,#REF!,#REF!,#REF!,#REF!,#REF!,#REF!,#REF!,#REF!,#REF!,#REF!,#REF!,#REF!,#REF!,#REF!,#REF!,#REF!,#REF!,#REF!)</f>
        <v>#REF!</v>
      </c>
      <c r="R8" s="123" t="e">
        <f>SUM(R5,#REF!,#REF!,#REF!,#REF!,#REF!,#REF!,#REF!,#REF!,#REF!,#REF!,#REF!,#REF!,#REF!,#REF!,#REF!,#REF!,#REF!,#REF!,#REF!,#REF!,#REF!,#REF!,#REF!,#REF!,#REF!,#REF!,#REF!)</f>
        <v>#REF!</v>
      </c>
      <c r="S8" s="123" t="e">
        <f>SUM(S5,#REF!,#REF!,#REF!,#REF!,#REF!,#REF!,#REF!,#REF!,#REF!,#REF!,#REF!,#REF!,#REF!,#REF!,#REF!,#REF!,#REF!,#REF!,#REF!,#REF!,#REF!,#REF!,#REF!,#REF!,#REF!,#REF!,#REF!)</f>
        <v>#REF!</v>
      </c>
      <c r="T8" s="123" t="e">
        <f>SUM(T5,#REF!,#REF!,#REF!,#REF!,#REF!,#REF!,#REF!,#REF!,#REF!,#REF!,#REF!,#REF!,#REF!,#REF!,#REF!,#REF!,#REF!,#REF!,#REF!,#REF!,#REF!,#REF!,#REF!,#REF!,#REF!,#REF!,#REF!)</f>
        <v>#REF!</v>
      </c>
      <c r="U8" s="123" t="e">
        <f>SUM(U5,#REF!,#REF!,#REF!,#REF!,#REF!,#REF!,#REF!,#REF!,#REF!,#REF!,#REF!,#REF!,#REF!,#REF!,#REF!,#REF!,#REF!,#REF!,#REF!,#REF!,#REF!,#REF!,#REF!,#REF!,#REF!,#REF!,#REF!)</f>
        <v>#REF!</v>
      </c>
      <c r="V8" s="123" t="e">
        <f>SUM(V5,#REF!,#REF!,#REF!,#REF!,#REF!,#REF!,#REF!,#REF!,#REF!,#REF!,#REF!,#REF!,#REF!,#REF!,#REF!,#REF!,#REF!,#REF!,#REF!,#REF!,#REF!,#REF!,#REF!,#REF!,#REF!,#REF!,#REF!)</f>
        <v>#REF!</v>
      </c>
      <c r="W8" s="123" t="e">
        <f>SUM(W5,#REF!,#REF!,#REF!,#REF!,#REF!,#REF!,#REF!,#REF!,#REF!,#REF!,#REF!,#REF!,#REF!,#REF!,#REF!,#REF!,#REF!,#REF!,#REF!,#REF!,#REF!,#REF!,#REF!,#REF!,#REF!,#REF!,#REF!)</f>
        <v>#REF!</v>
      </c>
      <c r="X8" s="123" t="e">
        <f>SUM(X5,#REF!,#REF!,#REF!,#REF!,#REF!,#REF!,#REF!,#REF!,#REF!,#REF!,#REF!,#REF!,#REF!,#REF!,#REF!,#REF!,#REF!,#REF!,#REF!,#REF!,#REF!,#REF!,#REF!,#REF!,#REF!,#REF!,#REF!)</f>
        <v>#REF!</v>
      </c>
      <c r="Y8" s="123" t="e">
        <f>SUM(Y5,#REF!,#REF!,#REF!,#REF!,#REF!,#REF!,#REF!,#REF!,#REF!,#REF!,#REF!,#REF!,#REF!,#REF!,#REF!,#REF!,#REF!,#REF!,#REF!,#REF!,#REF!,#REF!,#REF!,#REF!,#REF!,#REF!,#REF!)</f>
        <v>#REF!</v>
      </c>
      <c r="Z8" s="123" t="e">
        <f>SUM(Z5,#REF!,#REF!,#REF!,#REF!,#REF!,#REF!,#REF!,#REF!,#REF!,#REF!,#REF!,#REF!,#REF!,#REF!,#REF!,#REF!,#REF!,#REF!,#REF!,#REF!,#REF!,#REF!,#REF!,#REF!,#REF!,#REF!,#REF!)</f>
        <v>#REF!</v>
      </c>
      <c r="AA8" s="123" t="e">
        <f>SUM(AA5,#REF!,#REF!,#REF!,#REF!,#REF!,#REF!,#REF!,#REF!,#REF!,#REF!,#REF!,#REF!,#REF!,#REF!,#REF!,#REF!,#REF!,#REF!,#REF!,#REF!,#REF!,#REF!,#REF!,#REF!,#REF!,#REF!,#REF!)</f>
        <v>#REF!</v>
      </c>
      <c r="AB8" s="123" t="e">
        <f>SUM(AB5,#REF!,#REF!,#REF!,#REF!,#REF!,#REF!,#REF!,#REF!,#REF!,#REF!,#REF!,#REF!,#REF!,#REF!,#REF!,#REF!,#REF!,#REF!,#REF!,#REF!,#REF!,#REF!,#REF!,#REF!,#REF!,#REF!,#REF!)</f>
        <v>#REF!</v>
      </c>
      <c r="AC8" s="123" t="e">
        <f>SUM(AC5,#REF!,#REF!,#REF!,#REF!,#REF!,#REF!,#REF!,#REF!,#REF!,#REF!,#REF!,#REF!,#REF!,#REF!,#REF!,#REF!,#REF!,#REF!,#REF!,#REF!,#REF!,#REF!,#REF!,#REF!,#REF!,#REF!,#REF!)</f>
        <v>#REF!</v>
      </c>
      <c r="AD8" s="123" t="e">
        <f>SUM(AD5,#REF!,#REF!,#REF!,#REF!,#REF!,#REF!,#REF!,#REF!,#REF!,#REF!,#REF!,#REF!,#REF!,#REF!,#REF!,#REF!,#REF!,#REF!,#REF!,#REF!,#REF!,#REF!,#REF!,#REF!,#REF!,#REF!,#REF!)</f>
        <v>#REF!</v>
      </c>
      <c r="AE8" s="123" t="e">
        <f>SUM(AE5,#REF!,#REF!,#REF!,#REF!,#REF!,#REF!,#REF!,#REF!,#REF!,#REF!,#REF!,#REF!,#REF!,#REF!,#REF!,#REF!,#REF!,#REF!,#REF!,#REF!,#REF!,#REF!,#REF!,#REF!,#REF!,#REF!,#REF!)</f>
        <v>#REF!</v>
      </c>
      <c r="AF8" s="123" t="e">
        <f>SUM(AF5,#REF!,#REF!,#REF!,#REF!,#REF!,#REF!,#REF!,#REF!,#REF!,#REF!,#REF!,#REF!,#REF!,#REF!,#REF!,#REF!,#REF!,#REF!,#REF!,#REF!,#REF!,#REF!,#REF!,#REF!,#REF!,#REF!,#REF!)</f>
        <v>#REF!</v>
      </c>
      <c r="AG8" s="123" t="e">
        <f>SUM(AG5,#REF!,#REF!,#REF!,#REF!,#REF!,#REF!,#REF!,#REF!,#REF!,#REF!,#REF!,#REF!,#REF!,#REF!,#REF!,#REF!,#REF!,#REF!,#REF!,#REF!,#REF!,#REF!,#REF!,#REF!,#REF!,#REF!,#REF!)</f>
        <v>#REF!</v>
      </c>
      <c r="AH8" s="123" t="e">
        <f>SUM(AH5,#REF!,#REF!,#REF!,#REF!,#REF!,#REF!,#REF!,#REF!,#REF!,#REF!,#REF!,#REF!,#REF!,#REF!,#REF!,#REF!,#REF!,#REF!,#REF!,#REF!,#REF!,#REF!,#REF!,#REF!,#REF!,#REF!,#REF!)</f>
        <v>#REF!</v>
      </c>
      <c r="AI8" s="123" t="e">
        <f>SUM(AI5,#REF!,#REF!,#REF!,#REF!,#REF!,#REF!,#REF!,#REF!,#REF!,#REF!,#REF!,#REF!,#REF!,#REF!,#REF!,#REF!,#REF!,#REF!,#REF!,#REF!,#REF!,#REF!,#REF!,#REF!,#REF!,#REF!,#REF!)</f>
        <v>#REF!</v>
      </c>
      <c r="AJ8" s="123" t="e">
        <f>SUM(AJ5,#REF!,#REF!,#REF!,#REF!,#REF!,#REF!,#REF!,#REF!,#REF!,#REF!,#REF!,#REF!,#REF!,#REF!,#REF!,#REF!,#REF!,#REF!,#REF!,#REF!,#REF!,#REF!,#REF!,#REF!,#REF!,#REF!,#REF!)</f>
        <v>#REF!</v>
      </c>
      <c r="AK8" s="123" t="e">
        <f>SUM(AK5,#REF!,#REF!,#REF!,#REF!,#REF!,#REF!,#REF!,#REF!,#REF!,#REF!,#REF!,#REF!,#REF!,#REF!,#REF!,#REF!,#REF!,#REF!,#REF!,#REF!,#REF!,#REF!,#REF!,#REF!,#REF!,#REF!,#REF!)</f>
        <v>#REF!</v>
      </c>
      <c r="AL8" s="123" t="e">
        <f>SUM(AL5,#REF!,#REF!,#REF!,#REF!,#REF!,#REF!,#REF!,#REF!,#REF!,#REF!,#REF!,#REF!,#REF!,#REF!,#REF!,#REF!,#REF!,#REF!,#REF!,#REF!,#REF!,#REF!,#REF!,#REF!,#REF!,#REF!,#REF!)</f>
        <v>#REF!</v>
      </c>
      <c r="AM8" s="123" t="e">
        <f>SUM(AM5,#REF!,#REF!,#REF!,#REF!,#REF!,#REF!,#REF!,#REF!,#REF!,#REF!,#REF!,#REF!,#REF!,#REF!,#REF!,#REF!,#REF!,#REF!,#REF!,#REF!,#REF!,#REF!,#REF!,#REF!,#REF!,#REF!,#REF!)</f>
        <v>#REF!</v>
      </c>
      <c r="AN8" s="123" t="e">
        <f>SUM(AN5,#REF!,#REF!,#REF!,#REF!,#REF!,#REF!,#REF!,#REF!,#REF!,#REF!,#REF!,#REF!,#REF!,#REF!,#REF!,#REF!,#REF!,#REF!,#REF!,#REF!,#REF!,#REF!,#REF!,#REF!,#REF!,#REF!,#REF!)</f>
        <v>#REF!</v>
      </c>
      <c r="AO8" s="123" t="e">
        <f>SUM(AO5,#REF!,#REF!,#REF!,#REF!,#REF!,#REF!,#REF!,#REF!,#REF!,#REF!,#REF!,#REF!,#REF!,#REF!,#REF!,#REF!,#REF!,#REF!,#REF!,#REF!,#REF!,#REF!,#REF!,#REF!,#REF!,#REF!,#REF!)</f>
        <v>#REF!</v>
      </c>
      <c r="AP8" s="123" t="e">
        <f>SUM(AP5,#REF!,#REF!,#REF!,#REF!,#REF!,#REF!,#REF!,#REF!,#REF!,#REF!,#REF!,#REF!,#REF!,#REF!,#REF!,#REF!,#REF!,#REF!,#REF!,#REF!,#REF!,#REF!,#REF!,#REF!,#REF!,#REF!,#REF!)</f>
        <v>#REF!</v>
      </c>
      <c r="AQ8" s="123" t="e">
        <f>SUM(AQ5,#REF!,#REF!,#REF!,#REF!,#REF!,#REF!,#REF!,#REF!,#REF!,#REF!,#REF!,#REF!,#REF!,#REF!,#REF!,#REF!,#REF!,#REF!,#REF!,#REF!,#REF!,#REF!,#REF!,#REF!,#REF!,#REF!,#REF!)</f>
        <v>#REF!</v>
      </c>
      <c r="AR8" s="123" t="e">
        <f>SUM(AR5,#REF!,#REF!,#REF!,#REF!,#REF!,#REF!,#REF!,#REF!,#REF!,#REF!,#REF!,#REF!,#REF!,#REF!,#REF!,#REF!,#REF!,#REF!,#REF!,#REF!,#REF!,#REF!,#REF!,#REF!,#REF!,#REF!,#REF!)</f>
        <v>#REF!</v>
      </c>
      <c r="AS8" s="123" t="e">
        <f>SUM(AS5,#REF!,#REF!,#REF!,#REF!,#REF!,#REF!,#REF!,#REF!,#REF!,#REF!,#REF!,#REF!,#REF!,#REF!,#REF!,#REF!,#REF!,#REF!,#REF!,#REF!,#REF!,#REF!,#REF!,#REF!,#REF!,#REF!,#REF!)</f>
        <v>#REF!</v>
      </c>
      <c r="AT8" s="123" t="e">
        <f>SUM(AT5,#REF!,#REF!,#REF!,#REF!,#REF!,#REF!,#REF!,#REF!,#REF!,#REF!,#REF!,#REF!,#REF!,#REF!,#REF!,#REF!,#REF!,#REF!,#REF!,#REF!,#REF!,#REF!,#REF!,#REF!,#REF!,#REF!,#REF!)</f>
        <v>#REF!</v>
      </c>
      <c r="AU8" s="69" cm="1">
        <f t="array" ref="AU8">AVERAGE(IF(AU3:AU6&lt;&gt;0, AU3:AU6))</f>
        <v>0.9</v>
      </c>
    </row>
    <row r="9" spans="1:47">
      <c r="E9" s="230">
        <f>F8/E8</f>
        <v>1</v>
      </c>
      <c r="F9" s="230"/>
      <c r="G9" s="230">
        <f t="shared" ref="G9" si="2">H8/G8</f>
        <v>1</v>
      </c>
      <c r="H9" s="230"/>
      <c r="I9" s="230" t="e">
        <f t="shared" ref="I9" si="3">J8/I8</f>
        <v>#REF!</v>
      </c>
      <c r="J9" s="230"/>
      <c r="K9" s="230" t="e">
        <f t="shared" ref="K9" si="4">L8/K8</f>
        <v>#REF!</v>
      </c>
      <c r="L9" s="230"/>
      <c r="M9" s="230" t="e">
        <f t="shared" ref="M9" si="5">N8/M8</f>
        <v>#REF!</v>
      </c>
      <c r="N9" s="230"/>
      <c r="O9" s="230" t="e">
        <f t="shared" ref="O9" si="6">P8/O8</f>
        <v>#REF!</v>
      </c>
      <c r="P9" s="230"/>
      <c r="Q9" s="230" t="e">
        <f t="shared" ref="Q9" si="7">R8/Q8</f>
        <v>#REF!</v>
      </c>
      <c r="R9" s="230"/>
      <c r="S9" s="230" t="e">
        <f t="shared" ref="S9" si="8">T8/S8</f>
        <v>#REF!</v>
      </c>
      <c r="T9" s="230"/>
      <c r="U9" s="230" t="e">
        <f t="shared" ref="U9" si="9">V8/U8</f>
        <v>#REF!</v>
      </c>
      <c r="V9" s="230"/>
      <c r="W9" s="230" t="e">
        <f t="shared" ref="W9" si="10">X8/W8</f>
        <v>#REF!</v>
      </c>
      <c r="X9" s="230"/>
      <c r="Y9" s="230" t="e">
        <f t="shared" ref="Y9" si="11">Z8/Y8</f>
        <v>#REF!</v>
      </c>
      <c r="Z9" s="230"/>
      <c r="AA9" s="230" t="e">
        <f t="shared" ref="AA9" si="12">AB8/AA8</f>
        <v>#REF!</v>
      </c>
      <c r="AB9" s="230"/>
      <c r="AC9" s="230" t="e">
        <f t="shared" ref="AC9" si="13">AD8/AC8</f>
        <v>#REF!</v>
      </c>
      <c r="AD9" s="230"/>
      <c r="AE9" s="230" t="e">
        <f t="shared" ref="AE9" si="14">AF8/AE8</f>
        <v>#REF!</v>
      </c>
      <c r="AF9" s="230"/>
      <c r="AG9" s="230" t="e">
        <f t="shared" ref="AG9" si="15">AH8/AG8</f>
        <v>#REF!</v>
      </c>
      <c r="AH9" s="230"/>
      <c r="AI9" s="230" t="e">
        <f t="shared" ref="AI9" si="16">AJ8/AI8</f>
        <v>#REF!</v>
      </c>
      <c r="AJ9" s="230"/>
      <c r="AK9" s="230" t="e">
        <f t="shared" ref="AK9" si="17">AL8/AK8</f>
        <v>#REF!</v>
      </c>
      <c r="AL9" s="230"/>
      <c r="AM9" s="230" t="e">
        <f t="shared" ref="AM9" si="18">AN8/AM8</f>
        <v>#REF!</v>
      </c>
      <c r="AN9" s="230"/>
      <c r="AO9" s="230" t="e">
        <f t="shared" ref="AO9" si="19">AP8/AO8</f>
        <v>#REF!</v>
      </c>
      <c r="AP9" s="230"/>
      <c r="AQ9" s="230" t="e">
        <f t="shared" ref="AQ9" si="20">AR8/AQ8</f>
        <v>#REF!</v>
      </c>
      <c r="AR9" s="230"/>
      <c r="AS9" s="230" t="e">
        <f t="shared" ref="AS9" si="21">AT8/AS8</f>
        <v>#REF!</v>
      </c>
      <c r="AT9" s="230"/>
    </row>
  </sheetData>
  <mergeCells count="109">
    <mergeCell ref="AS9:AT9"/>
    <mergeCell ref="AG9:AH9"/>
    <mergeCell ref="AI9:AJ9"/>
    <mergeCell ref="AK9:AL9"/>
    <mergeCell ref="AM9:AN9"/>
    <mergeCell ref="AO9:AP9"/>
    <mergeCell ref="AQ9:AR9"/>
    <mergeCell ref="U9:V9"/>
    <mergeCell ref="W9:X9"/>
    <mergeCell ref="Y9:Z9"/>
    <mergeCell ref="AA9:AB9"/>
    <mergeCell ref="AC9:AD9"/>
    <mergeCell ref="AE9:AF9"/>
    <mergeCell ref="AQ6:AR6"/>
    <mergeCell ref="AS6:AT6"/>
    <mergeCell ref="E9:F9"/>
    <mergeCell ref="G9:H9"/>
    <mergeCell ref="I9:J9"/>
    <mergeCell ref="K9:L9"/>
    <mergeCell ref="M9:N9"/>
    <mergeCell ref="O9:P9"/>
    <mergeCell ref="Q9:R9"/>
    <mergeCell ref="S9:T9"/>
    <mergeCell ref="AE6:AF6"/>
    <mergeCell ref="AG6:AH6"/>
    <mergeCell ref="AI6:AJ6"/>
    <mergeCell ref="AK6:AL6"/>
    <mergeCell ref="AM6:AN6"/>
    <mergeCell ref="AO6:AP6"/>
    <mergeCell ref="S6:T6"/>
    <mergeCell ref="U6:V6"/>
    <mergeCell ref="W6:X6"/>
    <mergeCell ref="Y6:Z6"/>
    <mergeCell ref="AA6:AB6"/>
    <mergeCell ref="AC6:AD6"/>
    <mergeCell ref="G6:H6"/>
    <mergeCell ref="I6:J6"/>
    <mergeCell ref="AS4:AT4"/>
    <mergeCell ref="W4:X4"/>
    <mergeCell ref="Y4:Z4"/>
    <mergeCell ref="AA4:AB4"/>
    <mergeCell ref="AC4:AD4"/>
    <mergeCell ref="AE4:AF4"/>
    <mergeCell ref="AG4:AH4"/>
    <mergeCell ref="K4:L4"/>
    <mergeCell ref="M4:N4"/>
    <mergeCell ref="O4:P4"/>
    <mergeCell ref="Q4:R4"/>
    <mergeCell ref="S4:T4"/>
    <mergeCell ref="U4:V4"/>
    <mergeCell ref="AI4:AJ4"/>
    <mergeCell ref="AK4:AL4"/>
    <mergeCell ref="AM4:AN4"/>
    <mergeCell ref="AO4:AP4"/>
    <mergeCell ref="AQ4:AR4"/>
    <mergeCell ref="AI3:AJ3"/>
    <mergeCell ref="AK3:AL3"/>
    <mergeCell ref="AM3:AN3"/>
    <mergeCell ref="AO3:AP3"/>
    <mergeCell ref="AQ3:AR3"/>
    <mergeCell ref="AS3:AT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3:A6"/>
    <mergeCell ref="B3:B6"/>
    <mergeCell ref="C3:C6"/>
    <mergeCell ref="E3:F3"/>
    <mergeCell ref="G3:H3"/>
    <mergeCell ref="I3:J3"/>
    <mergeCell ref="E4:F4"/>
    <mergeCell ref="G4:H4"/>
    <mergeCell ref="I4:J4"/>
    <mergeCell ref="E6:F6"/>
    <mergeCell ref="K6:L6"/>
    <mergeCell ref="M6:N6"/>
    <mergeCell ref="O6:P6"/>
    <mergeCell ref="Q6:R6"/>
    <mergeCell ref="AI2:AJ2"/>
    <mergeCell ref="AK2:AL2"/>
    <mergeCell ref="AM2:AN2"/>
    <mergeCell ref="AO2:AP2"/>
    <mergeCell ref="AQ2:AR2"/>
    <mergeCell ref="AS2:AT2"/>
    <mergeCell ref="W2:X2"/>
    <mergeCell ref="Y2:Z2"/>
    <mergeCell ref="AA2:AB2"/>
    <mergeCell ref="AC2:AD2"/>
    <mergeCell ref="AE2:AF2"/>
    <mergeCell ref="AG2:AH2"/>
    <mergeCell ref="E1:U1"/>
    <mergeCell ref="E2:F2"/>
    <mergeCell ref="G2:H2"/>
    <mergeCell ref="I2:J2"/>
    <mergeCell ref="K2:L2"/>
    <mergeCell ref="M2:N2"/>
    <mergeCell ref="O2:P2"/>
    <mergeCell ref="Q2:R2"/>
    <mergeCell ref="S2:T2"/>
    <mergeCell ref="U2:V2"/>
  </mergeCells>
  <conditionalFormatting sqref="E6:AT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AT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F420-8219-46DF-840A-3ACBD0774BD8}">
  <dimension ref="A1:AK92"/>
  <sheetViews>
    <sheetView workbookViewId="0">
      <pane xSplit="1" ySplit="2" topLeftCell="D3" activePane="bottomRight" state="frozen"/>
      <selection pane="bottomRight" activeCell="U85" sqref="U85"/>
      <selection pane="bottomLeft"/>
      <selection pane="topRight"/>
    </sheetView>
  </sheetViews>
  <sheetFormatPr defaultRowHeight="15"/>
  <cols>
    <col min="1" max="1" width="11.28515625" customWidth="1"/>
    <col min="4" max="4" width="21" customWidth="1"/>
    <col min="5" max="5" width="9.85546875" bestFit="1" customWidth="1"/>
  </cols>
  <sheetData>
    <row r="1" spans="1:37">
      <c r="A1" s="49" t="s">
        <v>37</v>
      </c>
      <c r="B1" s="48" t="s">
        <v>38</v>
      </c>
      <c r="C1" s="58" t="s">
        <v>39</v>
      </c>
      <c r="E1" s="267" t="s">
        <v>42</v>
      </c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</row>
    <row r="2" spans="1:37" ht="41.25" customHeight="1">
      <c r="A2" s="11" t="s">
        <v>3</v>
      </c>
      <c r="B2" s="7" t="s">
        <v>4</v>
      </c>
      <c r="C2" s="7" t="s">
        <v>5</v>
      </c>
      <c r="D2" s="2"/>
      <c r="E2" s="279" t="s">
        <v>43</v>
      </c>
      <c r="F2" s="280"/>
      <c r="G2" s="207" t="s">
        <v>44</v>
      </c>
      <c r="H2" s="280"/>
      <c r="I2" s="207" t="s">
        <v>45</v>
      </c>
      <c r="J2" s="201"/>
      <c r="K2" s="280" t="s">
        <v>46</v>
      </c>
      <c r="L2" s="201"/>
      <c r="M2" s="207" t="s">
        <v>47</v>
      </c>
      <c r="N2" s="201"/>
      <c r="O2" s="207" t="s">
        <v>48</v>
      </c>
      <c r="P2" s="201"/>
      <c r="Q2" s="207" t="s">
        <v>49</v>
      </c>
      <c r="R2" s="201"/>
      <c r="S2" s="207" t="s">
        <v>50</v>
      </c>
      <c r="T2" s="201"/>
      <c r="U2" s="207" t="s">
        <v>51</v>
      </c>
      <c r="V2" s="201"/>
      <c r="W2" s="207" t="s">
        <v>52</v>
      </c>
      <c r="X2" s="201"/>
      <c r="Y2" s="207" t="s">
        <v>53</v>
      </c>
      <c r="Z2" s="201"/>
      <c r="AA2" s="207" t="s">
        <v>54</v>
      </c>
      <c r="AB2" s="201"/>
      <c r="AC2" s="207" t="s">
        <v>55</v>
      </c>
      <c r="AD2" s="201"/>
      <c r="AE2" s="273" t="s">
        <v>56</v>
      </c>
      <c r="AF2" s="274"/>
      <c r="AG2" s="210" t="s">
        <v>57</v>
      </c>
      <c r="AH2" s="216"/>
      <c r="AI2" s="210" t="s">
        <v>58</v>
      </c>
      <c r="AJ2" s="216"/>
      <c r="AK2" s="68" t="s">
        <v>22</v>
      </c>
    </row>
    <row r="3" spans="1:37" s="5" customFormat="1">
      <c r="A3" s="259">
        <v>120049067</v>
      </c>
      <c r="B3" s="275">
        <v>15</v>
      </c>
      <c r="C3" s="221" t="s">
        <v>39</v>
      </c>
      <c r="D3" s="8" t="s">
        <v>40</v>
      </c>
      <c r="E3" s="249">
        <v>46055</v>
      </c>
      <c r="F3" s="278"/>
      <c r="G3" s="249">
        <f>WORKDAY.INTL(E3,0,11)</f>
        <v>46055</v>
      </c>
      <c r="H3" s="250"/>
      <c r="I3" s="249">
        <f>WORKDAY.INTL(G3,0,11)</f>
        <v>46055</v>
      </c>
      <c r="J3" s="250"/>
      <c r="K3" s="249">
        <f>WORKDAY.INTL(I3,0,11)</f>
        <v>46055</v>
      </c>
      <c r="L3" s="250"/>
      <c r="M3" s="249">
        <f>WORKDAY.INTL(E3,0,11)</f>
        <v>46055</v>
      </c>
      <c r="N3" s="250"/>
      <c r="O3" s="249">
        <f t="shared" ref="O3" si="0">WORKDAY.INTL(M3,0,11)</f>
        <v>46055</v>
      </c>
      <c r="P3" s="250"/>
      <c r="Q3" s="249">
        <f t="shared" ref="Q3" si="1">WORKDAY.INTL(O3,0,11)</f>
        <v>46055</v>
      </c>
      <c r="R3" s="250"/>
      <c r="S3" s="249">
        <f t="shared" ref="S3" si="2">WORKDAY.INTL(Q3,0,11)</f>
        <v>46055</v>
      </c>
      <c r="T3" s="250"/>
      <c r="U3" s="249">
        <f t="shared" ref="U3" si="3">WORKDAY.INTL(S3,0,11)</f>
        <v>46055</v>
      </c>
      <c r="V3" s="250"/>
      <c r="W3" s="249">
        <f>WORKDAY.INTL(U3,2,11)</f>
        <v>46057</v>
      </c>
      <c r="X3" s="250"/>
      <c r="Y3" s="249">
        <f t="shared" ref="Y3" si="4">WORKDAY.INTL(W3,0,11)</f>
        <v>46057</v>
      </c>
      <c r="Z3" s="250"/>
      <c r="AA3" s="249">
        <f>WORKDAY.INTL(Y3,1,11)</f>
        <v>46058</v>
      </c>
      <c r="AB3" s="250"/>
      <c r="AC3" s="249">
        <f t="shared" ref="AC3" si="5">WORKDAY.INTL(AA3,0,11)</f>
        <v>46058</v>
      </c>
      <c r="AD3" s="250"/>
      <c r="AE3" s="249">
        <f>WORKDAY.INTL(AC3,0,11)</f>
        <v>46058</v>
      </c>
      <c r="AF3" s="250"/>
      <c r="AG3" s="249">
        <f t="shared" ref="AG3" si="6">WORKDAY.INTL(AE3,0,11)</f>
        <v>46058</v>
      </c>
      <c r="AH3" s="250"/>
      <c r="AI3" s="249">
        <f>WORKDAY.INTL(AG3,0,11)</f>
        <v>46058</v>
      </c>
      <c r="AJ3" s="250"/>
      <c r="AK3" s="73"/>
    </row>
    <row r="4" spans="1:37" s="4" customFormat="1">
      <c r="A4" s="260"/>
      <c r="B4" s="276"/>
      <c r="C4" s="194"/>
      <c r="D4" s="9" t="s">
        <v>41</v>
      </c>
      <c r="E4" s="235">
        <v>46057</v>
      </c>
      <c r="F4" s="236"/>
      <c r="G4" s="235"/>
      <c r="H4" s="237"/>
      <c r="I4" s="235"/>
      <c r="J4" s="237"/>
      <c r="K4" s="235"/>
      <c r="L4" s="237"/>
      <c r="M4" s="235">
        <v>46057</v>
      </c>
      <c r="N4" s="237"/>
      <c r="O4" s="235">
        <v>46057</v>
      </c>
      <c r="P4" s="237"/>
      <c r="Q4" s="235">
        <v>46057</v>
      </c>
      <c r="R4" s="237"/>
      <c r="S4" s="235">
        <v>46057</v>
      </c>
      <c r="T4" s="237"/>
      <c r="U4" s="235">
        <v>46058</v>
      </c>
      <c r="V4" s="237"/>
      <c r="W4" s="269">
        <v>46059</v>
      </c>
      <c r="X4" s="270"/>
      <c r="Y4" s="269">
        <v>46060</v>
      </c>
      <c r="Z4" s="270"/>
      <c r="AA4" s="269">
        <v>46061</v>
      </c>
      <c r="AB4" s="270"/>
      <c r="AC4" s="269">
        <v>46062</v>
      </c>
      <c r="AD4" s="270"/>
      <c r="AE4" s="269">
        <v>46063</v>
      </c>
      <c r="AF4" s="270"/>
      <c r="AG4" s="269">
        <v>46063</v>
      </c>
      <c r="AH4" s="270"/>
      <c r="AI4" s="271">
        <v>46076</v>
      </c>
      <c r="AJ4" s="272"/>
    </row>
    <row r="5" spans="1:37" s="4" customFormat="1">
      <c r="A5" s="260"/>
      <c r="B5" s="276"/>
      <c r="C5" s="194"/>
      <c r="D5" s="9" t="s">
        <v>33</v>
      </c>
      <c r="E5" s="12">
        <v>15</v>
      </c>
      <c r="F5" s="122">
        <v>15</v>
      </c>
      <c r="G5" s="12">
        <v>15</v>
      </c>
      <c r="H5" s="12">
        <v>15</v>
      </c>
      <c r="I5" s="12">
        <v>15</v>
      </c>
      <c r="J5" s="12">
        <v>15</v>
      </c>
      <c r="K5" s="12">
        <v>15</v>
      </c>
      <c r="L5" s="12">
        <v>15</v>
      </c>
      <c r="M5" s="12">
        <v>15</v>
      </c>
      <c r="N5" s="12">
        <v>15</v>
      </c>
      <c r="O5" s="12">
        <f>N5</f>
        <v>15</v>
      </c>
      <c r="P5" s="21">
        <v>15</v>
      </c>
      <c r="Q5" s="12">
        <f>P5</f>
        <v>15</v>
      </c>
      <c r="R5" s="12">
        <v>15</v>
      </c>
      <c r="S5" s="12">
        <v>15</v>
      </c>
      <c r="T5" s="12">
        <v>15</v>
      </c>
      <c r="U5" s="12">
        <v>15</v>
      </c>
      <c r="V5" s="12">
        <v>15</v>
      </c>
      <c r="W5" s="12">
        <v>15</v>
      </c>
      <c r="X5" s="59">
        <v>12</v>
      </c>
      <c r="Y5" s="12">
        <v>12</v>
      </c>
      <c r="Z5" s="12">
        <v>12</v>
      </c>
      <c r="AA5" s="60">
        <v>12</v>
      </c>
      <c r="AB5" s="61">
        <v>11</v>
      </c>
      <c r="AC5" s="60">
        <v>11</v>
      </c>
      <c r="AD5" s="61">
        <v>10</v>
      </c>
      <c r="AE5" s="61">
        <v>10</v>
      </c>
      <c r="AF5" s="61">
        <v>10</v>
      </c>
      <c r="AG5" s="61">
        <v>10</v>
      </c>
      <c r="AH5" s="61">
        <v>10</v>
      </c>
      <c r="AI5" s="61">
        <v>10</v>
      </c>
      <c r="AJ5" s="61">
        <v>10</v>
      </c>
      <c r="AK5" s="70">
        <f>AJ5/E5</f>
        <v>0.66666666666666663</v>
      </c>
    </row>
    <row r="6" spans="1:37" s="6" customFormat="1">
      <c r="A6" s="261"/>
      <c r="B6" s="277"/>
      <c r="C6" s="195"/>
      <c r="D6" s="10" t="s">
        <v>22</v>
      </c>
      <c r="E6" s="252">
        <f>F5/E5</f>
        <v>1</v>
      </c>
      <c r="F6" s="268"/>
      <c r="G6" s="252">
        <f t="shared" ref="G6" si="7">H5/G5</f>
        <v>1</v>
      </c>
      <c r="H6" s="268"/>
      <c r="I6" s="252">
        <f t="shared" ref="I6" si="8">J5/I5</f>
        <v>1</v>
      </c>
      <c r="J6" s="268"/>
      <c r="K6" s="252">
        <f t="shared" ref="K6" si="9">L5/K5</f>
        <v>1</v>
      </c>
      <c r="L6" s="268"/>
      <c r="M6" s="252">
        <f>N5/M5</f>
        <v>1</v>
      </c>
      <c r="N6" s="253"/>
      <c r="O6" s="252">
        <f>P5/O5</f>
        <v>1</v>
      </c>
      <c r="P6" s="253"/>
      <c r="Q6" s="252">
        <f>R5/Q5</f>
        <v>1</v>
      </c>
      <c r="R6" s="253"/>
      <c r="S6" s="252">
        <f>T5/S5</f>
        <v>1</v>
      </c>
      <c r="T6" s="253"/>
      <c r="U6" s="252">
        <f>V5/U5</f>
        <v>1</v>
      </c>
      <c r="V6" s="253"/>
      <c r="W6" s="252">
        <f>X5/W5</f>
        <v>0.8</v>
      </c>
      <c r="X6" s="253"/>
      <c r="Y6" s="252">
        <f>Z5/Y5</f>
        <v>1</v>
      </c>
      <c r="Z6" s="253"/>
      <c r="AA6" s="252">
        <f>AB5/AA5</f>
        <v>0.91666666666666663</v>
      </c>
      <c r="AB6" s="253"/>
      <c r="AC6" s="252">
        <f>AD5/AC5</f>
        <v>0.90909090909090906</v>
      </c>
      <c r="AD6" s="253"/>
      <c r="AE6" s="252">
        <f>AF5/AE5</f>
        <v>1</v>
      </c>
      <c r="AF6" s="253"/>
      <c r="AG6" s="252">
        <f>AH5/AG5</f>
        <v>1</v>
      </c>
      <c r="AH6" s="253"/>
      <c r="AI6" s="252">
        <f>AJ5/AI5</f>
        <v>1</v>
      </c>
      <c r="AJ6" s="253"/>
      <c r="AK6" s="70"/>
    </row>
    <row r="7" spans="1:37">
      <c r="A7" s="259">
        <v>120049068</v>
      </c>
      <c r="B7" s="245">
        <v>15</v>
      </c>
      <c r="C7" s="221" t="s">
        <v>39</v>
      </c>
      <c r="D7" s="8" t="s">
        <v>40</v>
      </c>
      <c r="E7" s="233">
        <v>46056</v>
      </c>
      <c r="F7" s="248"/>
      <c r="G7" s="249">
        <f>WORKDAY.INTL(E7,0,11)</f>
        <v>46056</v>
      </c>
      <c r="H7" s="250"/>
      <c r="I7" s="249">
        <f>WORKDAY.INTL(G7,0,11)</f>
        <v>46056</v>
      </c>
      <c r="J7" s="250"/>
      <c r="K7" s="249">
        <f>WORKDAY.INTL(I7,0,11)</f>
        <v>46056</v>
      </c>
      <c r="L7" s="250"/>
      <c r="M7" s="233">
        <f>WORKDAY.INTL(E7,0,11)</f>
        <v>46056</v>
      </c>
      <c r="N7" s="234"/>
      <c r="O7" s="233">
        <f t="shared" ref="O7" si="10">WORKDAY.INTL(M7,0,11)</f>
        <v>46056</v>
      </c>
      <c r="P7" s="234"/>
      <c r="Q7" s="233">
        <f t="shared" ref="Q7" si="11">WORKDAY.INTL(O7,0,11)</f>
        <v>46056</v>
      </c>
      <c r="R7" s="234"/>
      <c r="S7" s="233">
        <f t="shared" ref="S7" si="12">WORKDAY.INTL(Q7,0,11)</f>
        <v>46056</v>
      </c>
      <c r="T7" s="234"/>
      <c r="U7" s="233">
        <f t="shared" ref="U7" si="13">WORKDAY.INTL(S7,0,11)</f>
        <v>46056</v>
      </c>
      <c r="V7" s="234"/>
      <c r="W7" s="233">
        <f>WORKDAY.INTL(U7,2,11)</f>
        <v>46058</v>
      </c>
      <c r="X7" s="234"/>
      <c r="Y7" s="233">
        <f t="shared" ref="Y7" si="14">WORKDAY.INTL(W7,0,11)</f>
        <v>46058</v>
      </c>
      <c r="Z7" s="234"/>
      <c r="AA7" s="233">
        <f>WORKDAY.INTL(Y7,1,11)</f>
        <v>46059</v>
      </c>
      <c r="AB7" s="234"/>
      <c r="AC7" s="233">
        <f t="shared" ref="AC7" si="15">WORKDAY.INTL(AA7,0,11)</f>
        <v>46059</v>
      </c>
      <c r="AD7" s="234"/>
      <c r="AE7" s="233">
        <f>WORKDAY.INTL(AC7,0,11)</f>
        <v>46059</v>
      </c>
      <c r="AF7" s="234"/>
      <c r="AG7" s="233">
        <f t="shared" ref="AG7" si="16">WORKDAY.INTL(AE7,0,11)</f>
        <v>46059</v>
      </c>
      <c r="AH7" s="234"/>
      <c r="AI7" s="233">
        <f t="shared" ref="AI7" si="17">WORKDAY.INTL(AG7,0,11)</f>
        <v>46059</v>
      </c>
      <c r="AJ7" s="234"/>
      <c r="AK7" s="70"/>
    </row>
    <row r="8" spans="1:37">
      <c r="A8" s="260"/>
      <c r="B8" s="246"/>
      <c r="C8" s="194"/>
      <c r="D8" s="9" t="s">
        <v>41</v>
      </c>
      <c r="E8" s="235"/>
      <c r="F8" s="236"/>
      <c r="G8" s="235"/>
      <c r="H8" s="237"/>
      <c r="I8" s="235"/>
      <c r="J8" s="237"/>
      <c r="K8" s="235"/>
      <c r="L8" s="237"/>
      <c r="M8" s="235"/>
      <c r="N8" s="237"/>
      <c r="O8" s="235"/>
      <c r="P8" s="237"/>
      <c r="Q8" s="235"/>
      <c r="R8" s="237"/>
      <c r="S8" s="235">
        <v>46058</v>
      </c>
      <c r="T8" s="237"/>
      <c r="U8" s="257">
        <v>46059</v>
      </c>
      <c r="V8" s="258"/>
      <c r="W8" s="235">
        <v>46062</v>
      </c>
      <c r="X8" s="237"/>
      <c r="Y8" s="235">
        <v>46062</v>
      </c>
      <c r="Z8" s="237"/>
      <c r="AA8" s="235">
        <v>46062</v>
      </c>
      <c r="AB8" s="237"/>
      <c r="AC8" s="235">
        <v>46062</v>
      </c>
      <c r="AD8" s="237"/>
      <c r="AE8" s="235">
        <v>46063</v>
      </c>
      <c r="AF8" s="237"/>
      <c r="AG8" s="235">
        <v>46063</v>
      </c>
      <c r="AH8" s="237"/>
      <c r="AI8" s="271">
        <v>46076</v>
      </c>
      <c r="AJ8" s="272"/>
      <c r="AK8" s="70"/>
    </row>
    <row r="9" spans="1:37">
      <c r="A9" s="260"/>
      <c r="B9" s="246"/>
      <c r="C9" s="194"/>
      <c r="D9" s="9" t="s">
        <v>33</v>
      </c>
      <c r="E9" s="12">
        <v>15</v>
      </c>
      <c r="F9" s="122">
        <v>15</v>
      </c>
      <c r="G9" s="12">
        <v>15</v>
      </c>
      <c r="H9" s="12">
        <v>15</v>
      </c>
      <c r="I9" s="12">
        <v>15</v>
      </c>
      <c r="J9" s="12">
        <v>15</v>
      </c>
      <c r="K9" s="12">
        <v>15</v>
      </c>
      <c r="L9" s="12">
        <v>15</v>
      </c>
      <c r="M9" s="12">
        <v>15</v>
      </c>
      <c r="N9" s="12">
        <v>15</v>
      </c>
      <c r="O9" s="12">
        <v>15</v>
      </c>
      <c r="P9" s="12">
        <v>15</v>
      </c>
      <c r="Q9" s="12">
        <v>15</v>
      </c>
      <c r="R9" s="12">
        <v>15</v>
      </c>
      <c r="S9" s="12">
        <v>15</v>
      </c>
      <c r="T9" s="12">
        <v>15</v>
      </c>
      <c r="U9" s="12">
        <v>15</v>
      </c>
      <c r="V9" s="12">
        <v>15</v>
      </c>
      <c r="W9" s="12">
        <v>15</v>
      </c>
      <c r="X9" s="12">
        <v>12</v>
      </c>
      <c r="Y9" s="60">
        <v>12</v>
      </c>
      <c r="Z9" s="60">
        <v>11</v>
      </c>
      <c r="AA9" s="60">
        <v>11</v>
      </c>
      <c r="AB9" s="60">
        <v>11</v>
      </c>
      <c r="AC9" s="60">
        <v>11</v>
      </c>
      <c r="AD9" s="60">
        <v>10</v>
      </c>
      <c r="AE9" s="60">
        <v>10</v>
      </c>
      <c r="AF9" s="60">
        <v>10</v>
      </c>
      <c r="AG9" s="60">
        <v>10</v>
      </c>
      <c r="AH9" s="60">
        <v>10</v>
      </c>
      <c r="AI9" s="60">
        <v>10</v>
      </c>
      <c r="AJ9" s="60">
        <v>10</v>
      </c>
      <c r="AK9" s="70">
        <f>AJ9/E9</f>
        <v>0.66666666666666663</v>
      </c>
    </row>
    <row r="10" spans="1:37">
      <c r="A10" s="261"/>
      <c r="B10" s="247"/>
      <c r="C10" s="195"/>
      <c r="D10" s="10" t="s">
        <v>22</v>
      </c>
      <c r="E10" s="252">
        <f>F9/E9</f>
        <v>1</v>
      </c>
      <c r="F10" s="268"/>
      <c r="G10" s="252">
        <f t="shared" ref="G10" si="18">H9/G9</f>
        <v>1</v>
      </c>
      <c r="H10" s="268"/>
      <c r="I10" s="252">
        <f t="shared" ref="I10" si="19">J9/I9</f>
        <v>1</v>
      </c>
      <c r="J10" s="268"/>
      <c r="K10" s="252">
        <f t="shared" ref="K10" si="20">L9/K9</f>
        <v>1</v>
      </c>
      <c r="L10" s="268"/>
      <c r="M10" s="252">
        <f>N9/M9</f>
        <v>1</v>
      </c>
      <c r="N10" s="253"/>
      <c r="O10" s="252">
        <f>P9/O9</f>
        <v>1</v>
      </c>
      <c r="P10" s="253"/>
      <c r="Q10" s="252">
        <f>R9/Q9</f>
        <v>1</v>
      </c>
      <c r="R10" s="253"/>
      <c r="S10" s="252">
        <f>T9/S9</f>
        <v>1</v>
      </c>
      <c r="T10" s="253"/>
      <c r="U10" s="252">
        <f>V9/U9</f>
        <v>1</v>
      </c>
      <c r="V10" s="253"/>
      <c r="W10" s="252">
        <f>X9/W9</f>
        <v>0.8</v>
      </c>
      <c r="X10" s="253"/>
      <c r="Y10" s="252">
        <f>Z9/Y9</f>
        <v>0.91666666666666663</v>
      </c>
      <c r="Z10" s="253"/>
      <c r="AA10" s="252">
        <f>AB9/AA9</f>
        <v>1</v>
      </c>
      <c r="AB10" s="253"/>
      <c r="AC10" s="252">
        <f>AD9/AC9</f>
        <v>0.90909090909090906</v>
      </c>
      <c r="AD10" s="253"/>
      <c r="AE10" s="252">
        <f>AF9/AE9</f>
        <v>1</v>
      </c>
      <c r="AF10" s="253"/>
      <c r="AG10" s="252">
        <f>AH9/AG9</f>
        <v>1</v>
      </c>
      <c r="AH10" s="253"/>
      <c r="AI10" s="252">
        <f>AJ9/AI9</f>
        <v>1</v>
      </c>
      <c r="AJ10" s="253"/>
      <c r="AK10" s="70"/>
    </row>
    <row r="11" spans="1:37">
      <c r="A11" s="259">
        <v>120049169</v>
      </c>
      <c r="B11" s="245">
        <v>15</v>
      </c>
      <c r="C11" s="221" t="s">
        <v>39</v>
      </c>
      <c r="D11" s="8" t="s">
        <v>40</v>
      </c>
      <c r="E11" s="233">
        <v>46057</v>
      </c>
      <c r="F11" s="248"/>
      <c r="G11" s="249">
        <f>WORKDAY.INTL(E11,0,11)</f>
        <v>46057</v>
      </c>
      <c r="H11" s="250"/>
      <c r="I11" s="249">
        <f>WORKDAY.INTL(G11,0,11)</f>
        <v>46057</v>
      </c>
      <c r="J11" s="250"/>
      <c r="K11" s="249">
        <f>WORKDAY.INTL(I11,0,11)</f>
        <v>46057</v>
      </c>
      <c r="L11" s="250"/>
      <c r="M11" s="233">
        <f>WORKDAY.INTL(E11,0,11)</f>
        <v>46057</v>
      </c>
      <c r="N11" s="234"/>
      <c r="O11" s="233">
        <f t="shared" ref="O11" si="21">WORKDAY.INTL(M11,0,11)</f>
        <v>46057</v>
      </c>
      <c r="P11" s="234"/>
      <c r="Q11" s="233">
        <f t="shared" ref="Q11" si="22">WORKDAY.INTL(O11,0,11)</f>
        <v>46057</v>
      </c>
      <c r="R11" s="234"/>
      <c r="S11" s="233">
        <f t="shared" ref="S11" si="23">WORKDAY.INTL(Q11,0,11)</f>
        <v>46057</v>
      </c>
      <c r="T11" s="234"/>
      <c r="U11" s="233">
        <f t="shared" ref="U11" si="24">WORKDAY.INTL(S11,0,11)</f>
        <v>46057</v>
      </c>
      <c r="V11" s="234"/>
      <c r="W11" s="233">
        <f>WORKDAY.INTL(U11,2,11)</f>
        <v>46059</v>
      </c>
      <c r="X11" s="234"/>
      <c r="Y11" s="233">
        <f t="shared" ref="Y11" si="25">WORKDAY.INTL(W11,0,11)</f>
        <v>46059</v>
      </c>
      <c r="Z11" s="234"/>
      <c r="AA11" s="233">
        <f>WORKDAY.INTL(Y11,1,11)</f>
        <v>46060</v>
      </c>
      <c r="AB11" s="234"/>
      <c r="AC11" s="233">
        <f t="shared" ref="AC11" si="26">WORKDAY.INTL(AA11,0,11)</f>
        <v>46060</v>
      </c>
      <c r="AD11" s="234"/>
      <c r="AE11" s="233">
        <f>WORKDAY.INTL(AC11,0,11)</f>
        <v>46060</v>
      </c>
      <c r="AF11" s="234"/>
      <c r="AG11" s="233">
        <f>WORKDAY.INTL(AE11,0,11)</f>
        <v>46060</v>
      </c>
      <c r="AH11" s="234"/>
      <c r="AI11" s="233">
        <f t="shared" ref="AI11" si="27">WORKDAY.INTL(AG11,0,11)</f>
        <v>46060</v>
      </c>
      <c r="AJ11" s="234"/>
      <c r="AK11" s="70"/>
    </row>
    <row r="12" spans="1:37">
      <c r="A12" s="260"/>
      <c r="B12" s="246"/>
      <c r="C12" s="194"/>
      <c r="D12" s="9" t="s">
        <v>41</v>
      </c>
      <c r="E12" s="235"/>
      <c r="F12" s="236"/>
      <c r="G12" s="235"/>
      <c r="H12" s="237"/>
      <c r="I12" s="235"/>
      <c r="J12" s="237"/>
      <c r="K12" s="235"/>
      <c r="L12" s="237"/>
      <c r="M12" s="257"/>
      <c r="N12" s="258"/>
      <c r="O12" s="235"/>
      <c r="P12" s="237"/>
      <c r="Q12" s="235"/>
      <c r="R12" s="237"/>
      <c r="S12" s="235">
        <v>46059</v>
      </c>
      <c r="T12" s="237"/>
      <c r="U12" s="257">
        <v>46060</v>
      </c>
      <c r="V12" s="258"/>
      <c r="W12" s="235">
        <v>46063</v>
      </c>
      <c r="X12" s="237"/>
      <c r="Y12" s="235">
        <v>46063</v>
      </c>
      <c r="Z12" s="237"/>
      <c r="AA12" s="235">
        <v>46063</v>
      </c>
      <c r="AB12" s="237"/>
      <c r="AC12" s="235">
        <v>46063</v>
      </c>
      <c r="AD12" s="237"/>
      <c r="AE12" s="235">
        <v>46063</v>
      </c>
      <c r="AF12" s="237"/>
      <c r="AG12" s="235">
        <v>46064</v>
      </c>
      <c r="AH12" s="237"/>
      <c r="AI12" s="238">
        <v>46076</v>
      </c>
      <c r="AJ12" s="239"/>
      <c r="AK12" s="70"/>
    </row>
    <row r="13" spans="1:37">
      <c r="A13" s="260"/>
      <c r="B13" s="246"/>
      <c r="C13" s="194"/>
      <c r="D13" s="9" t="s">
        <v>33</v>
      </c>
      <c r="E13" s="12">
        <v>15</v>
      </c>
      <c r="F13" s="122">
        <v>15</v>
      </c>
      <c r="G13" s="12">
        <v>15</v>
      </c>
      <c r="H13" s="12">
        <v>15</v>
      </c>
      <c r="I13" s="12">
        <v>15</v>
      </c>
      <c r="J13" s="12">
        <v>15</v>
      </c>
      <c r="K13" s="12">
        <v>15</v>
      </c>
      <c r="L13" s="12">
        <v>15</v>
      </c>
      <c r="M13" s="12">
        <v>15</v>
      </c>
      <c r="N13" s="12">
        <v>15</v>
      </c>
      <c r="O13" s="12">
        <v>15</v>
      </c>
      <c r="P13" s="12">
        <v>15</v>
      </c>
      <c r="Q13" s="12">
        <v>15</v>
      </c>
      <c r="R13" s="12">
        <v>15</v>
      </c>
      <c r="S13" s="12">
        <v>15</v>
      </c>
      <c r="T13" s="12">
        <v>15</v>
      </c>
      <c r="U13" s="12">
        <v>15</v>
      </c>
      <c r="V13" s="12">
        <v>15</v>
      </c>
      <c r="W13" s="12">
        <v>15</v>
      </c>
      <c r="X13" s="12">
        <v>11</v>
      </c>
      <c r="Y13" s="60">
        <v>11</v>
      </c>
      <c r="Z13" s="60">
        <v>11</v>
      </c>
      <c r="AA13" s="60">
        <v>11</v>
      </c>
      <c r="AB13" s="60">
        <v>10</v>
      </c>
      <c r="AC13" s="60">
        <v>10</v>
      </c>
      <c r="AD13" s="60">
        <v>10</v>
      </c>
      <c r="AE13" s="60">
        <v>10</v>
      </c>
      <c r="AF13" s="60">
        <v>10</v>
      </c>
      <c r="AG13" s="60">
        <v>10</v>
      </c>
      <c r="AH13" s="60">
        <v>10</v>
      </c>
      <c r="AI13" s="60">
        <v>10</v>
      </c>
      <c r="AJ13" s="60">
        <v>10</v>
      </c>
      <c r="AK13" s="70">
        <f>AJ13/E13</f>
        <v>0.66666666666666663</v>
      </c>
    </row>
    <row r="14" spans="1:37">
      <c r="A14" s="261"/>
      <c r="B14" s="247"/>
      <c r="C14" s="195"/>
      <c r="D14" s="10" t="s">
        <v>22</v>
      </c>
      <c r="E14" s="252">
        <f>F13/E13</f>
        <v>1</v>
      </c>
      <c r="F14" s="268"/>
      <c r="G14" s="252">
        <f t="shared" ref="G14" si="28">H13/G13</f>
        <v>1</v>
      </c>
      <c r="H14" s="268"/>
      <c r="I14" s="252">
        <f t="shared" ref="I14" si="29">J13/I13</f>
        <v>1</v>
      </c>
      <c r="J14" s="268"/>
      <c r="K14" s="252">
        <f t="shared" ref="K14" si="30">L13/K13</f>
        <v>1</v>
      </c>
      <c r="L14" s="268"/>
      <c r="M14" s="252">
        <f>N13/M13</f>
        <v>1</v>
      </c>
      <c r="N14" s="253"/>
      <c r="O14" s="252">
        <f>P13/O13</f>
        <v>1</v>
      </c>
      <c r="P14" s="253"/>
      <c r="Q14" s="252">
        <f>R13/Q13</f>
        <v>1</v>
      </c>
      <c r="R14" s="253"/>
      <c r="S14" s="252">
        <f>T13/S13</f>
        <v>1</v>
      </c>
      <c r="T14" s="253"/>
      <c r="U14" s="252">
        <f>V13/U13</f>
        <v>1</v>
      </c>
      <c r="V14" s="253"/>
      <c r="W14" s="252">
        <f>X13/W13</f>
        <v>0.73333333333333328</v>
      </c>
      <c r="X14" s="253"/>
      <c r="Y14" s="252">
        <f>Z13/Y13</f>
        <v>1</v>
      </c>
      <c r="Z14" s="253"/>
      <c r="AA14" s="252">
        <f>AB13/AA13</f>
        <v>0.90909090909090906</v>
      </c>
      <c r="AB14" s="253"/>
      <c r="AC14" s="252">
        <f>AD13/AC13</f>
        <v>1</v>
      </c>
      <c r="AD14" s="253"/>
      <c r="AE14" s="252">
        <f>AF13/AE13</f>
        <v>1</v>
      </c>
      <c r="AF14" s="253"/>
      <c r="AG14" s="252">
        <f>AH13/AG13</f>
        <v>1</v>
      </c>
      <c r="AH14" s="253"/>
      <c r="AI14" s="252">
        <f>AJ13/AI13</f>
        <v>1</v>
      </c>
      <c r="AJ14" s="253"/>
      <c r="AK14" s="70"/>
    </row>
    <row r="15" spans="1:37">
      <c r="A15" s="259">
        <v>120049170</v>
      </c>
      <c r="B15" s="262">
        <v>15</v>
      </c>
      <c r="C15" s="221" t="s">
        <v>39</v>
      </c>
      <c r="D15" s="8" t="s">
        <v>40</v>
      </c>
      <c r="E15" s="233">
        <v>46058</v>
      </c>
      <c r="F15" s="248"/>
      <c r="G15" s="249">
        <f>WORKDAY.INTL(E15,0,11)</f>
        <v>46058</v>
      </c>
      <c r="H15" s="250"/>
      <c r="I15" s="249">
        <f>WORKDAY.INTL(G15,0,11)</f>
        <v>46058</v>
      </c>
      <c r="J15" s="250"/>
      <c r="K15" s="249">
        <f>WORKDAY.INTL(I15,0,11)</f>
        <v>46058</v>
      </c>
      <c r="L15" s="250"/>
      <c r="M15" s="233">
        <f>WORKDAY.INTL(E15,0,11)</f>
        <v>46058</v>
      </c>
      <c r="N15" s="234"/>
      <c r="O15" s="233">
        <f t="shared" ref="O15" si="31">WORKDAY.INTL(M15,0,11)</f>
        <v>46058</v>
      </c>
      <c r="P15" s="234"/>
      <c r="Q15" s="233">
        <f t="shared" ref="Q15" si="32">WORKDAY.INTL(O15,0,11)</f>
        <v>46058</v>
      </c>
      <c r="R15" s="234"/>
      <c r="S15" s="233">
        <f t="shared" ref="S15" si="33">WORKDAY.INTL(Q15,0,11)</f>
        <v>46058</v>
      </c>
      <c r="T15" s="234"/>
      <c r="U15" s="233">
        <f t="shared" ref="U15" si="34">WORKDAY.INTL(S15,0,11)</f>
        <v>46058</v>
      </c>
      <c r="V15" s="234"/>
      <c r="W15" s="233">
        <f>WORKDAY.INTL(U15,2,11)</f>
        <v>46060</v>
      </c>
      <c r="X15" s="234"/>
      <c r="Y15" s="233">
        <f t="shared" ref="Y15" si="35">WORKDAY.INTL(W15,0,11)</f>
        <v>46060</v>
      </c>
      <c r="Z15" s="234"/>
      <c r="AA15" s="233">
        <f>WORKDAY.INTL(Y15,1,11)</f>
        <v>46062</v>
      </c>
      <c r="AB15" s="234"/>
      <c r="AC15" s="233">
        <f t="shared" ref="AC15" si="36">WORKDAY.INTL(AA15,0,11)</f>
        <v>46062</v>
      </c>
      <c r="AD15" s="234"/>
      <c r="AE15" s="233">
        <f>WORKDAY.INTL(AC15,0,11)</f>
        <v>46062</v>
      </c>
      <c r="AF15" s="234"/>
      <c r="AG15" s="233">
        <f t="shared" ref="AG15" si="37">WORKDAY.INTL(AE15,0,11)</f>
        <v>46062</v>
      </c>
      <c r="AH15" s="234"/>
      <c r="AI15" s="233">
        <f t="shared" ref="AI15" si="38">WORKDAY.INTL(AG15,0,11)</f>
        <v>46062</v>
      </c>
      <c r="AJ15" s="234"/>
      <c r="AK15" s="70"/>
    </row>
    <row r="16" spans="1:37">
      <c r="A16" s="260"/>
      <c r="B16" s="263"/>
      <c r="C16" s="194"/>
      <c r="D16" s="9" t="s">
        <v>41</v>
      </c>
      <c r="E16" s="235">
        <v>46058</v>
      </c>
      <c r="F16" s="236"/>
      <c r="G16" s="235"/>
      <c r="H16" s="237"/>
      <c r="I16" s="235"/>
      <c r="J16" s="237"/>
      <c r="K16" s="235"/>
      <c r="L16" s="237"/>
      <c r="M16" s="235">
        <v>46059</v>
      </c>
      <c r="N16" s="237"/>
      <c r="O16" s="235">
        <v>46059</v>
      </c>
      <c r="P16" s="237"/>
      <c r="Q16" s="235">
        <v>46059</v>
      </c>
      <c r="R16" s="237"/>
      <c r="S16" s="235">
        <v>46062</v>
      </c>
      <c r="T16" s="237"/>
      <c r="U16" s="235">
        <v>46062</v>
      </c>
      <c r="V16" s="237"/>
      <c r="W16" s="235">
        <v>46063</v>
      </c>
      <c r="X16" s="237"/>
      <c r="Y16" s="235">
        <v>46063</v>
      </c>
      <c r="Z16" s="237"/>
      <c r="AA16" s="235">
        <v>46063</v>
      </c>
      <c r="AB16" s="237"/>
      <c r="AC16" s="235">
        <v>46063</v>
      </c>
      <c r="AD16" s="237"/>
      <c r="AE16" s="235">
        <v>46063</v>
      </c>
      <c r="AF16" s="237"/>
      <c r="AG16" s="235">
        <v>46064</v>
      </c>
      <c r="AH16" s="237"/>
      <c r="AI16" s="238">
        <v>46076</v>
      </c>
      <c r="AJ16" s="239"/>
      <c r="AK16" s="70"/>
    </row>
    <row r="17" spans="1:37">
      <c r="A17" s="260"/>
      <c r="B17" s="263"/>
      <c r="C17" s="194"/>
      <c r="D17" s="9" t="s">
        <v>33</v>
      </c>
      <c r="E17" s="12">
        <v>15</v>
      </c>
      <c r="F17" s="122">
        <v>15</v>
      </c>
      <c r="G17" s="12">
        <v>15</v>
      </c>
      <c r="H17" s="12">
        <v>15</v>
      </c>
      <c r="I17" s="12">
        <v>15</v>
      </c>
      <c r="J17" s="59">
        <v>11</v>
      </c>
      <c r="K17" s="12">
        <v>11</v>
      </c>
      <c r="L17" s="12">
        <v>11</v>
      </c>
      <c r="M17" s="12">
        <v>11</v>
      </c>
      <c r="N17" s="12">
        <v>11</v>
      </c>
      <c r="O17" s="12">
        <v>11</v>
      </c>
      <c r="P17" s="12">
        <v>11</v>
      </c>
      <c r="Q17" s="12">
        <v>11</v>
      </c>
      <c r="R17" s="12">
        <v>11</v>
      </c>
      <c r="S17" s="12">
        <v>11</v>
      </c>
      <c r="T17" s="12">
        <v>11</v>
      </c>
      <c r="U17" s="12">
        <v>11</v>
      </c>
      <c r="V17" s="12">
        <v>11</v>
      </c>
      <c r="W17" s="12">
        <v>11</v>
      </c>
      <c r="X17" s="59">
        <v>8</v>
      </c>
      <c r="Y17" s="12">
        <v>8</v>
      </c>
      <c r="Z17" s="12">
        <v>8</v>
      </c>
      <c r="AA17" s="12">
        <v>8</v>
      </c>
      <c r="AB17" s="12">
        <v>8</v>
      </c>
      <c r="AC17" s="12">
        <v>8</v>
      </c>
      <c r="AD17" s="12">
        <v>8</v>
      </c>
      <c r="AE17" s="60">
        <v>8</v>
      </c>
      <c r="AF17" s="60">
        <v>8</v>
      </c>
      <c r="AG17" s="60">
        <v>8</v>
      </c>
      <c r="AH17" s="60">
        <v>8</v>
      </c>
      <c r="AI17" s="60">
        <v>8</v>
      </c>
      <c r="AJ17" s="60">
        <v>8</v>
      </c>
      <c r="AK17" s="70">
        <f>AJ17/E17</f>
        <v>0.53333333333333333</v>
      </c>
    </row>
    <row r="18" spans="1:37">
      <c r="A18" s="261"/>
      <c r="B18" s="264"/>
      <c r="C18" s="195"/>
      <c r="D18" s="10" t="s">
        <v>22</v>
      </c>
      <c r="E18" s="231">
        <f>F17/E17</f>
        <v>1</v>
      </c>
      <c r="F18" s="251"/>
      <c r="G18" s="231">
        <f t="shared" ref="G18" si="39">H17/G17</f>
        <v>1</v>
      </c>
      <c r="H18" s="251"/>
      <c r="I18" s="231">
        <f t="shared" ref="I18" si="40">J17/I17</f>
        <v>0.73333333333333328</v>
      </c>
      <c r="J18" s="251"/>
      <c r="K18" s="231">
        <f t="shared" ref="K18" si="41">L17/K17</f>
        <v>1</v>
      </c>
      <c r="L18" s="251"/>
      <c r="M18" s="231">
        <f>N17/M17</f>
        <v>1</v>
      </c>
      <c r="N18" s="232"/>
      <c r="O18" s="231">
        <f>P17/O17</f>
        <v>1</v>
      </c>
      <c r="P18" s="232"/>
      <c r="Q18" s="231">
        <f>R17/Q17</f>
        <v>1</v>
      </c>
      <c r="R18" s="232"/>
      <c r="S18" s="252">
        <f>T17/S17</f>
        <v>1</v>
      </c>
      <c r="T18" s="253"/>
      <c r="U18" s="252">
        <f>V17/U17</f>
        <v>1</v>
      </c>
      <c r="V18" s="253"/>
      <c r="W18" s="252">
        <f>X17/W17</f>
        <v>0.72727272727272729</v>
      </c>
      <c r="X18" s="253"/>
      <c r="Y18" s="252">
        <f>Z17/Y17</f>
        <v>1</v>
      </c>
      <c r="Z18" s="253"/>
      <c r="AA18" s="252">
        <f>AB17/AA17</f>
        <v>1</v>
      </c>
      <c r="AB18" s="253"/>
      <c r="AC18" s="252">
        <f>AD17/AC17</f>
        <v>1</v>
      </c>
      <c r="AD18" s="253"/>
      <c r="AE18" s="252">
        <f>AF17/AE17</f>
        <v>1</v>
      </c>
      <c r="AF18" s="253"/>
      <c r="AG18" s="252">
        <f>AH17/AG17</f>
        <v>1</v>
      </c>
      <c r="AH18" s="253"/>
      <c r="AI18" s="252">
        <f>AJ17/AI17</f>
        <v>1</v>
      </c>
      <c r="AJ18" s="253"/>
      <c r="AK18" s="70"/>
    </row>
    <row r="19" spans="1:37" ht="15.75" customHeight="1">
      <c r="A19" s="259">
        <v>120049430</v>
      </c>
      <c r="B19" s="245">
        <v>30</v>
      </c>
      <c r="C19" s="221" t="s">
        <v>39</v>
      </c>
      <c r="D19" s="8" t="s">
        <v>40</v>
      </c>
      <c r="E19" s="233">
        <v>46063</v>
      </c>
      <c r="F19" s="248"/>
      <c r="G19" s="249">
        <f>WORKDAY.INTL(E19,0,11)</f>
        <v>46063</v>
      </c>
      <c r="H19" s="250"/>
      <c r="I19" s="249">
        <f>WORKDAY.INTL(G19,0,11)</f>
        <v>46063</v>
      </c>
      <c r="J19" s="250"/>
      <c r="K19" s="249">
        <f>WORKDAY.INTL(I19,0,11)</f>
        <v>46063</v>
      </c>
      <c r="L19" s="250"/>
      <c r="M19" s="233">
        <f>WORKDAY.INTL(E19,0,11)</f>
        <v>46063</v>
      </c>
      <c r="N19" s="234"/>
      <c r="O19" s="265">
        <f t="shared" ref="O19" si="42">WORKDAY.INTL(M19,0,11)</f>
        <v>46063</v>
      </c>
      <c r="P19" s="266"/>
      <c r="Q19" s="233">
        <f t="shared" ref="Q19" si="43">WORKDAY.INTL(O19,0,11)</f>
        <v>46063</v>
      </c>
      <c r="R19" s="234"/>
      <c r="S19" s="233">
        <f t="shared" ref="S19" si="44">WORKDAY.INTL(Q19,0,11)</f>
        <v>46063</v>
      </c>
      <c r="T19" s="234"/>
      <c r="U19" s="233">
        <f t="shared" ref="U19" si="45">WORKDAY.INTL(S19,0,11)</f>
        <v>46063</v>
      </c>
      <c r="V19" s="234"/>
      <c r="W19" s="233">
        <f>WORKDAY.INTL(U19,2,11)</f>
        <v>46065</v>
      </c>
      <c r="X19" s="234"/>
      <c r="Y19" s="233">
        <f t="shared" ref="Y19" si="46">WORKDAY.INTL(W19,0,11)</f>
        <v>46065</v>
      </c>
      <c r="Z19" s="234"/>
      <c r="AA19" s="233">
        <f>WORKDAY.INTL(Y19,1,11)</f>
        <v>46066</v>
      </c>
      <c r="AB19" s="234"/>
      <c r="AC19" s="233">
        <f t="shared" ref="AC19" si="47">WORKDAY.INTL(AA19,0,11)</f>
        <v>46066</v>
      </c>
      <c r="AD19" s="234"/>
      <c r="AE19" s="233">
        <f>WORKDAY.INTL(AC19,0,11)</f>
        <v>46066</v>
      </c>
      <c r="AF19" s="234"/>
      <c r="AG19" s="233">
        <f t="shared" ref="AG19" si="48">WORKDAY.INTL(AE19,0,11)</f>
        <v>46066</v>
      </c>
      <c r="AH19" s="234"/>
      <c r="AI19" s="233">
        <f t="shared" ref="AI19" si="49">WORKDAY.INTL(AG19,0,11)</f>
        <v>46066</v>
      </c>
      <c r="AJ19" s="234"/>
      <c r="AK19" s="70"/>
    </row>
    <row r="20" spans="1:37">
      <c r="A20" s="260"/>
      <c r="B20" s="246"/>
      <c r="C20" s="194"/>
      <c r="D20" s="9" t="s">
        <v>41</v>
      </c>
      <c r="E20" s="235">
        <v>46062</v>
      </c>
      <c r="F20" s="236"/>
      <c r="G20" s="235"/>
      <c r="H20" s="237"/>
      <c r="I20" s="235"/>
      <c r="J20" s="237"/>
      <c r="K20" s="235"/>
      <c r="L20" s="237"/>
      <c r="M20" s="235">
        <v>46063</v>
      </c>
      <c r="N20" s="237"/>
      <c r="O20" s="235">
        <v>46063</v>
      </c>
      <c r="P20" s="237"/>
      <c r="Q20" s="235">
        <v>46063</v>
      </c>
      <c r="R20" s="237"/>
      <c r="S20" s="235">
        <v>46063</v>
      </c>
      <c r="T20" s="237"/>
      <c r="U20" s="235">
        <v>46064</v>
      </c>
      <c r="V20" s="237"/>
      <c r="W20" s="235">
        <v>46069</v>
      </c>
      <c r="X20" s="237"/>
      <c r="Y20" s="235">
        <v>46069</v>
      </c>
      <c r="Z20" s="237"/>
      <c r="AA20" s="235">
        <v>46070</v>
      </c>
      <c r="AB20" s="237"/>
      <c r="AC20" s="235">
        <v>46070</v>
      </c>
      <c r="AD20" s="237"/>
      <c r="AE20" s="235">
        <v>46070</v>
      </c>
      <c r="AF20" s="237"/>
      <c r="AG20" s="235">
        <v>46071</v>
      </c>
      <c r="AH20" s="237"/>
      <c r="AI20" s="238">
        <v>46077</v>
      </c>
      <c r="AJ20" s="239"/>
      <c r="AK20" s="70"/>
    </row>
    <row r="21" spans="1:37">
      <c r="A21" s="260"/>
      <c r="B21" s="246"/>
      <c r="C21" s="194"/>
      <c r="D21" s="9" t="s">
        <v>33</v>
      </c>
      <c r="E21" s="12">
        <v>30</v>
      </c>
      <c r="F21" s="122">
        <v>30</v>
      </c>
      <c r="G21" s="122">
        <v>30</v>
      </c>
      <c r="H21" s="122">
        <v>30</v>
      </c>
      <c r="I21" s="122">
        <v>30</v>
      </c>
      <c r="J21" s="128">
        <v>26</v>
      </c>
      <c r="K21" s="122">
        <v>26</v>
      </c>
      <c r="L21" s="122">
        <v>26</v>
      </c>
      <c r="M21" s="12">
        <v>26</v>
      </c>
      <c r="N21" s="12">
        <v>26</v>
      </c>
      <c r="O21" s="12">
        <v>26</v>
      </c>
      <c r="P21" s="21">
        <v>26</v>
      </c>
      <c r="Q21" s="12">
        <v>26</v>
      </c>
      <c r="R21" s="12">
        <v>26</v>
      </c>
      <c r="S21" s="12">
        <v>26</v>
      </c>
      <c r="T21" s="12">
        <v>26</v>
      </c>
      <c r="U21" s="12">
        <v>26</v>
      </c>
      <c r="V21" s="12">
        <v>26</v>
      </c>
      <c r="W21" s="12">
        <v>26</v>
      </c>
      <c r="X21" s="59">
        <v>21</v>
      </c>
      <c r="Y21" s="12">
        <v>21</v>
      </c>
      <c r="Z21" s="12">
        <v>21</v>
      </c>
      <c r="AA21" s="12">
        <v>21</v>
      </c>
      <c r="AB21" s="59">
        <v>20</v>
      </c>
      <c r="AC21" s="12">
        <v>20</v>
      </c>
      <c r="AD21" s="12">
        <v>16</v>
      </c>
      <c r="AE21" s="12">
        <v>16</v>
      </c>
      <c r="AF21" s="12">
        <v>16</v>
      </c>
      <c r="AG21" s="12">
        <v>16</v>
      </c>
      <c r="AH21" s="12">
        <v>16</v>
      </c>
      <c r="AI21" s="12">
        <v>16</v>
      </c>
      <c r="AJ21" s="12">
        <v>16</v>
      </c>
      <c r="AK21" s="70">
        <f>AJ21/E21</f>
        <v>0.53333333333333333</v>
      </c>
    </row>
    <row r="22" spans="1:37">
      <c r="A22" s="261"/>
      <c r="B22" s="247"/>
      <c r="C22" s="195"/>
      <c r="D22" s="10" t="s">
        <v>22</v>
      </c>
      <c r="E22" s="231">
        <f>F21/E21</f>
        <v>1</v>
      </c>
      <c r="F22" s="251"/>
      <c r="G22" s="231">
        <f t="shared" ref="G22" si="50">H21/G21</f>
        <v>1</v>
      </c>
      <c r="H22" s="251"/>
      <c r="I22" s="231">
        <f t="shared" ref="I22" si="51">J21/I21</f>
        <v>0.8666666666666667</v>
      </c>
      <c r="J22" s="251"/>
      <c r="K22" s="231">
        <f t="shared" ref="K22" si="52">L21/K21</f>
        <v>1</v>
      </c>
      <c r="L22" s="251"/>
      <c r="M22" s="231">
        <f>N21/M21</f>
        <v>1</v>
      </c>
      <c r="N22" s="232"/>
      <c r="O22" s="231">
        <f>P21/O21</f>
        <v>1</v>
      </c>
      <c r="P22" s="232"/>
      <c r="Q22" s="231">
        <f>R21/Q21</f>
        <v>1</v>
      </c>
      <c r="R22" s="232"/>
      <c r="S22" s="252">
        <f>T21/S21</f>
        <v>1</v>
      </c>
      <c r="T22" s="253"/>
      <c r="U22" s="252">
        <f>V21/U21</f>
        <v>1</v>
      </c>
      <c r="V22" s="253"/>
      <c r="W22" s="252">
        <f>X21/W21</f>
        <v>0.80769230769230771</v>
      </c>
      <c r="X22" s="253"/>
      <c r="Y22" s="252">
        <f>Z21/Y21</f>
        <v>1</v>
      </c>
      <c r="Z22" s="253"/>
      <c r="AA22" s="252">
        <f>AB21/AA21</f>
        <v>0.95238095238095233</v>
      </c>
      <c r="AB22" s="253"/>
      <c r="AC22" s="252">
        <f>AD21/AC21</f>
        <v>0.8</v>
      </c>
      <c r="AD22" s="253"/>
      <c r="AE22" s="252">
        <f>AF21/AE21</f>
        <v>1</v>
      </c>
      <c r="AF22" s="253"/>
      <c r="AG22" s="252">
        <f>AH21/AG21</f>
        <v>1</v>
      </c>
      <c r="AH22" s="253"/>
      <c r="AI22" s="252">
        <f>AJ21/AI21</f>
        <v>1</v>
      </c>
      <c r="AJ22" s="253"/>
      <c r="AK22" s="70"/>
    </row>
    <row r="23" spans="1:37">
      <c r="A23" s="259">
        <v>120049431</v>
      </c>
      <c r="B23" s="262">
        <v>30</v>
      </c>
      <c r="C23" s="221" t="s">
        <v>39</v>
      </c>
      <c r="D23" s="8" t="s">
        <v>40</v>
      </c>
      <c r="E23" s="233">
        <v>46064</v>
      </c>
      <c r="F23" s="248"/>
      <c r="G23" s="249">
        <f>WORKDAY.INTL(E23,0,11)</f>
        <v>46064</v>
      </c>
      <c r="H23" s="250"/>
      <c r="I23" s="249">
        <f>WORKDAY.INTL(G23,0,11)</f>
        <v>46064</v>
      </c>
      <c r="J23" s="250"/>
      <c r="K23" s="249">
        <f>WORKDAY.INTL(I23,0,11)</f>
        <v>46064</v>
      </c>
      <c r="L23" s="250"/>
      <c r="M23" s="233">
        <f>WORKDAY.INTL(E23,0,11)</f>
        <v>46064</v>
      </c>
      <c r="N23" s="234"/>
      <c r="O23" s="233">
        <f t="shared" ref="O23" si="53">WORKDAY.INTL(M23,0,11)</f>
        <v>46064</v>
      </c>
      <c r="P23" s="234"/>
      <c r="Q23" s="233">
        <f t="shared" ref="Q23" si="54">WORKDAY.INTL(O23,0,11)</f>
        <v>46064</v>
      </c>
      <c r="R23" s="234"/>
      <c r="S23" s="233">
        <f t="shared" ref="S23" si="55">WORKDAY.INTL(Q23,0,11)</f>
        <v>46064</v>
      </c>
      <c r="T23" s="234"/>
      <c r="U23" s="233">
        <f t="shared" ref="U23" si="56">WORKDAY.INTL(S23,0,11)</f>
        <v>46064</v>
      </c>
      <c r="V23" s="234"/>
      <c r="W23" s="233">
        <f>WORKDAY.INTL(U23,2,11)</f>
        <v>46066</v>
      </c>
      <c r="X23" s="234"/>
      <c r="Y23" s="233">
        <f t="shared" ref="Y23" si="57">WORKDAY.INTL(W23,0,11)</f>
        <v>46066</v>
      </c>
      <c r="Z23" s="234"/>
      <c r="AA23" s="233">
        <f>WORKDAY.INTL(Y23,1,11)</f>
        <v>46067</v>
      </c>
      <c r="AB23" s="234"/>
      <c r="AC23" s="233">
        <f t="shared" ref="AC23" si="58">WORKDAY.INTL(AA23,0,11)</f>
        <v>46067</v>
      </c>
      <c r="AD23" s="234"/>
      <c r="AE23" s="233">
        <f>WORKDAY.INTL(AC23,0,11)</f>
        <v>46067</v>
      </c>
      <c r="AF23" s="234"/>
      <c r="AG23" s="233">
        <f t="shared" ref="AG23" si="59">WORKDAY.INTL(AE23,0,11)</f>
        <v>46067</v>
      </c>
      <c r="AH23" s="234"/>
      <c r="AI23" s="233">
        <f t="shared" ref="AI23" si="60">WORKDAY.INTL(AG23,0,11)</f>
        <v>46067</v>
      </c>
      <c r="AJ23" s="234"/>
      <c r="AK23" s="70"/>
    </row>
    <row r="24" spans="1:37">
      <c r="A24" s="260"/>
      <c r="B24" s="263"/>
      <c r="C24" s="194"/>
      <c r="D24" s="9" t="s">
        <v>41</v>
      </c>
      <c r="E24" s="235">
        <v>46062</v>
      </c>
      <c r="F24" s="236"/>
      <c r="G24" s="235"/>
      <c r="H24" s="237"/>
      <c r="I24" s="235"/>
      <c r="J24" s="237"/>
      <c r="K24" s="121"/>
      <c r="L24" s="121"/>
      <c r="M24" s="235">
        <v>46064</v>
      </c>
      <c r="N24" s="237"/>
      <c r="O24" s="235">
        <v>46064</v>
      </c>
      <c r="P24" s="237"/>
      <c r="Q24" s="235">
        <v>46064</v>
      </c>
      <c r="R24" s="237"/>
      <c r="S24" s="235">
        <v>46064</v>
      </c>
      <c r="T24" s="237"/>
      <c r="U24" s="235">
        <v>46064</v>
      </c>
      <c r="V24" s="237"/>
      <c r="W24" s="235">
        <v>46066</v>
      </c>
      <c r="X24" s="237"/>
      <c r="Y24" s="235">
        <v>46069</v>
      </c>
      <c r="Z24" s="237"/>
      <c r="AA24" s="235">
        <v>46069</v>
      </c>
      <c r="AB24" s="237"/>
      <c r="AC24" s="235">
        <v>46069</v>
      </c>
      <c r="AD24" s="237"/>
      <c r="AE24" s="235">
        <v>46070</v>
      </c>
      <c r="AF24" s="237"/>
      <c r="AG24" s="235">
        <v>46071</v>
      </c>
      <c r="AH24" s="237"/>
      <c r="AI24" s="238">
        <v>46077</v>
      </c>
      <c r="AJ24" s="239"/>
      <c r="AK24" s="70"/>
    </row>
    <row r="25" spans="1:37">
      <c r="A25" s="260"/>
      <c r="B25" s="263"/>
      <c r="C25" s="194"/>
      <c r="D25" s="9" t="s">
        <v>33</v>
      </c>
      <c r="E25" s="12">
        <v>30</v>
      </c>
      <c r="F25" s="122">
        <v>30</v>
      </c>
      <c r="G25" s="122">
        <v>30</v>
      </c>
      <c r="H25" s="122">
        <v>30</v>
      </c>
      <c r="I25" s="122">
        <v>30</v>
      </c>
      <c r="J25" s="128">
        <v>25</v>
      </c>
      <c r="K25" s="122">
        <v>25</v>
      </c>
      <c r="L25" s="122">
        <v>25</v>
      </c>
      <c r="M25" s="12">
        <v>25</v>
      </c>
      <c r="N25" s="12">
        <v>25</v>
      </c>
      <c r="O25" s="12">
        <v>25</v>
      </c>
      <c r="P25" s="12">
        <v>25</v>
      </c>
      <c r="Q25" s="12">
        <v>25</v>
      </c>
      <c r="R25" s="12">
        <v>25</v>
      </c>
      <c r="S25" s="12">
        <v>25</v>
      </c>
      <c r="T25" s="59">
        <v>24</v>
      </c>
      <c r="U25" s="12">
        <v>24</v>
      </c>
      <c r="V25" s="12">
        <v>24</v>
      </c>
      <c r="W25" s="12">
        <v>24</v>
      </c>
      <c r="X25" s="59">
        <v>12</v>
      </c>
      <c r="Y25" s="12">
        <v>12</v>
      </c>
      <c r="Z25" s="12">
        <v>12</v>
      </c>
      <c r="AA25" s="12">
        <v>12</v>
      </c>
      <c r="AB25" s="12">
        <v>12</v>
      </c>
      <c r="AC25" s="12">
        <v>12</v>
      </c>
      <c r="AD25" s="12">
        <v>12</v>
      </c>
      <c r="AE25" s="12">
        <v>12</v>
      </c>
      <c r="AF25" s="12">
        <v>12</v>
      </c>
      <c r="AG25" s="12">
        <v>12</v>
      </c>
      <c r="AH25" s="12">
        <v>12</v>
      </c>
      <c r="AI25" s="12">
        <v>12</v>
      </c>
      <c r="AJ25" s="12">
        <v>12</v>
      </c>
      <c r="AK25" s="70">
        <f>AJ25/E25</f>
        <v>0.4</v>
      </c>
    </row>
    <row r="26" spans="1:37">
      <c r="A26" s="261"/>
      <c r="B26" s="264"/>
      <c r="C26" s="195"/>
      <c r="D26" s="10" t="s">
        <v>22</v>
      </c>
      <c r="E26" s="231">
        <f>F25/E25</f>
        <v>1</v>
      </c>
      <c r="F26" s="251"/>
      <c r="G26" s="231">
        <f t="shared" ref="G26" si="61">H25/G25</f>
        <v>1</v>
      </c>
      <c r="H26" s="251"/>
      <c r="I26" s="231">
        <f t="shared" ref="I26" si="62">J25/I25</f>
        <v>0.83333333333333337</v>
      </c>
      <c r="J26" s="251"/>
      <c r="K26" s="231">
        <f t="shared" ref="K26" si="63">L25/K25</f>
        <v>1</v>
      </c>
      <c r="L26" s="251"/>
      <c r="M26" s="231">
        <f>N25/M25</f>
        <v>1</v>
      </c>
      <c r="N26" s="232"/>
      <c r="O26" s="231">
        <f>P25/O25</f>
        <v>1</v>
      </c>
      <c r="P26" s="232"/>
      <c r="Q26" s="231">
        <f>R25/Q25</f>
        <v>1</v>
      </c>
      <c r="R26" s="232"/>
      <c r="S26" s="252">
        <f>T25/S25</f>
        <v>0.96</v>
      </c>
      <c r="T26" s="253"/>
      <c r="U26" s="252">
        <f>V25/U25</f>
        <v>1</v>
      </c>
      <c r="V26" s="253"/>
      <c r="W26" s="252">
        <f>X25/W25</f>
        <v>0.5</v>
      </c>
      <c r="X26" s="253"/>
      <c r="Y26" s="252">
        <f>Z25/Y25</f>
        <v>1</v>
      </c>
      <c r="Z26" s="253"/>
      <c r="AA26" s="252">
        <f>AB25/AA25</f>
        <v>1</v>
      </c>
      <c r="AB26" s="253"/>
      <c r="AC26" s="252">
        <f>AD25/AC25</f>
        <v>1</v>
      </c>
      <c r="AD26" s="253"/>
      <c r="AE26" s="252">
        <f>AF25/AE25</f>
        <v>1</v>
      </c>
      <c r="AF26" s="253"/>
      <c r="AG26" s="252">
        <f>AH25/AG25</f>
        <v>1</v>
      </c>
      <c r="AH26" s="253"/>
      <c r="AI26" s="252">
        <f>AJ25/AI25</f>
        <v>1</v>
      </c>
      <c r="AJ26" s="253"/>
      <c r="AK26" s="70"/>
    </row>
    <row r="27" spans="1:37">
      <c r="A27" s="259">
        <v>120049432</v>
      </c>
      <c r="B27" s="245">
        <v>30</v>
      </c>
      <c r="C27" s="221" t="s">
        <v>39</v>
      </c>
      <c r="D27" s="8" t="s">
        <v>40</v>
      </c>
      <c r="E27" s="233">
        <v>46065</v>
      </c>
      <c r="F27" s="248"/>
      <c r="G27" s="249">
        <f>WORKDAY.INTL(E27,0,11)</f>
        <v>46065</v>
      </c>
      <c r="H27" s="250"/>
      <c r="I27" s="249">
        <f>WORKDAY.INTL(G27,0,11)</f>
        <v>46065</v>
      </c>
      <c r="J27" s="250"/>
      <c r="K27" s="249">
        <f>WORKDAY.INTL(I27,0,11)</f>
        <v>46065</v>
      </c>
      <c r="L27" s="250"/>
      <c r="M27" s="233">
        <f>WORKDAY.INTL(E27,0,11)</f>
        <v>46065</v>
      </c>
      <c r="N27" s="234"/>
      <c r="O27" s="233">
        <f t="shared" ref="O27" si="64">WORKDAY.INTL(M27,0,11)</f>
        <v>46065</v>
      </c>
      <c r="P27" s="234"/>
      <c r="Q27" s="233">
        <f t="shared" ref="Q27" si="65">WORKDAY.INTL(O27,0,11)</f>
        <v>46065</v>
      </c>
      <c r="R27" s="234"/>
      <c r="S27" s="233">
        <f t="shared" ref="S27" si="66">WORKDAY.INTL(Q27,0,11)</f>
        <v>46065</v>
      </c>
      <c r="T27" s="234"/>
      <c r="U27" s="233">
        <f t="shared" ref="U27" si="67">WORKDAY.INTL(S27,0,11)</f>
        <v>46065</v>
      </c>
      <c r="V27" s="234"/>
      <c r="W27" s="233">
        <f>WORKDAY.INTL(U27,2,11)</f>
        <v>46067</v>
      </c>
      <c r="X27" s="234"/>
      <c r="Y27" s="233">
        <f t="shared" ref="Y27" si="68">WORKDAY.INTL(W27,0,11)</f>
        <v>46067</v>
      </c>
      <c r="Z27" s="234"/>
      <c r="AA27" s="233">
        <f>WORKDAY.INTL(Y27,1,11)</f>
        <v>46069</v>
      </c>
      <c r="AB27" s="234"/>
      <c r="AC27" s="233">
        <f t="shared" ref="AC27" si="69">WORKDAY.INTL(AA27,0,11)</f>
        <v>46069</v>
      </c>
      <c r="AD27" s="234"/>
      <c r="AE27" s="233">
        <f>WORKDAY.INTL(AC27,0,11)</f>
        <v>46069</v>
      </c>
      <c r="AF27" s="234"/>
      <c r="AG27" s="233">
        <f t="shared" ref="AG27" si="70">WORKDAY.INTL(AE27,0,11)</f>
        <v>46069</v>
      </c>
      <c r="AH27" s="234"/>
      <c r="AI27" s="233">
        <f t="shared" ref="AI27" si="71">WORKDAY.INTL(AG27,0,11)</f>
        <v>46069</v>
      </c>
      <c r="AJ27" s="234"/>
      <c r="AK27" s="70"/>
    </row>
    <row r="28" spans="1:37">
      <c r="A28" s="260"/>
      <c r="B28" s="246"/>
      <c r="C28" s="194"/>
      <c r="D28" s="9" t="s">
        <v>41</v>
      </c>
      <c r="E28" s="235">
        <v>46065</v>
      </c>
      <c r="F28" s="236"/>
      <c r="G28" s="235"/>
      <c r="H28" s="237"/>
      <c r="I28" s="235"/>
      <c r="J28" s="237"/>
      <c r="K28" s="235"/>
      <c r="L28" s="237"/>
      <c r="M28" s="235">
        <v>46066</v>
      </c>
      <c r="N28" s="237"/>
      <c r="O28" s="235">
        <v>46066</v>
      </c>
      <c r="P28" s="237"/>
      <c r="Q28" s="235">
        <v>46066</v>
      </c>
      <c r="R28" s="237"/>
      <c r="S28" s="235">
        <v>46066</v>
      </c>
      <c r="T28" s="237"/>
      <c r="U28" s="235">
        <v>46069</v>
      </c>
      <c r="V28" s="237"/>
      <c r="W28" s="235">
        <v>46070</v>
      </c>
      <c r="X28" s="237"/>
      <c r="Y28" s="235">
        <v>46070</v>
      </c>
      <c r="Z28" s="237"/>
      <c r="AA28" s="235">
        <v>46070</v>
      </c>
      <c r="AB28" s="237"/>
      <c r="AC28" s="235">
        <v>46070</v>
      </c>
      <c r="AD28" s="237"/>
      <c r="AE28" s="235">
        <v>46071</v>
      </c>
      <c r="AF28" s="237"/>
      <c r="AG28" s="235">
        <v>46071</v>
      </c>
      <c r="AH28" s="237"/>
      <c r="AI28" s="238">
        <v>46077</v>
      </c>
      <c r="AJ28" s="239"/>
      <c r="AK28" s="70"/>
    </row>
    <row r="29" spans="1:37">
      <c r="A29" s="260"/>
      <c r="B29" s="246"/>
      <c r="C29" s="194"/>
      <c r="D29" s="9" t="s">
        <v>33</v>
      </c>
      <c r="E29" s="12">
        <v>30</v>
      </c>
      <c r="F29" s="122">
        <v>30</v>
      </c>
      <c r="G29" s="122">
        <v>30</v>
      </c>
      <c r="H29" s="122">
        <v>30</v>
      </c>
      <c r="I29" s="122">
        <v>30</v>
      </c>
      <c r="J29" s="122">
        <v>29</v>
      </c>
      <c r="K29" s="122">
        <v>29</v>
      </c>
      <c r="L29" s="122">
        <v>29</v>
      </c>
      <c r="M29" s="12">
        <v>29</v>
      </c>
      <c r="N29" s="12">
        <v>29</v>
      </c>
      <c r="O29" s="12">
        <v>29</v>
      </c>
      <c r="P29" s="12">
        <v>29</v>
      </c>
      <c r="Q29" s="12">
        <v>29</v>
      </c>
      <c r="R29" s="12">
        <v>29</v>
      </c>
      <c r="S29" s="12">
        <v>29</v>
      </c>
      <c r="T29" s="21">
        <v>29</v>
      </c>
      <c r="U29" s="12">
        <v>29</v>
      </c>
      <c r="V29" s="12">
        <v>29</v>
      </c>
      <c r="W29" s="12">
        <v>29</v>
      </c>
      <c r="X29" s="3">
        <v>20</v>
      </c>
      <c r="Y29" s="3">
        <v>20</v>
      </c>
      <c r="Z29" s="3">
        <v>18</v>
      </c>
      <c r="AA29" s="3">
        <v>18</v>
      </c>
      <c r="AB29" s="3">
        <v>16</v>
      </c>
      <c r="AC29" s="3">
        <v>16</v>
      </c>
      <c r="AD29" s="3">
        <v>14</v>
      </c>
      <c r="AE29" s="3">
        <v>14</v>
      </c>
      <c r="AF29" s="3">
        <v>13</v>
      </c>
      <c r="AG29" s="3">
        <v>13</v>
      </c>
      <c r="AH29" s="3">
        <v>12</v>
      </c>
      <c r="AI29" s="3">
        <v>12</v>
      </c>
      <c r="AJ29" s="3">
        <v>12</v>
      </c>
      <c r="AK29" s="70">
        <f>AJ29/E29</f>
        <v>0.4</v>
      </c>
    </row>
    <row r="30" spans="1:37">
      <c r="A30" s="261"/>
      <c r="B30" s="247"/>
      <c r="C30" s="195"/>
      <c r="D30" s="10" t="s">
        <v>22</v>
      </c>
      <c r="E30" s="231">
        <f>F29/E29</f>
        <v>1</v>
      </c>
      <c r="F30" s="251"/>
      <c r="G30" s="231">
        <f t="shared" ref="G30" si="72">H29/G29</f>
        <v>1</v>
      </c>
      <c r="H30" s="251"/>
      <c r="I30" s="231">
        <f t="shared" ref="I30" si="73">J29/I29</f>
        <v>0.96666666666666667</v>
      </c>
      <c r="J30" s="251"/>
      <c r="K30" s="231">
        <f t="shared" ref="K30" si="74">L29/K29</f>
        <v>1</v>
      </c>
      <c r="L30" s="251"/>
      <c r="M30" s="231">
        <f>N29/M29</f>
        <v>1</v>
      </c>
      <c r="N30" s="232"/>
      <c r="O30" s="231">
        <f>P29/O29</f>
        <v>1</v>
      </c>
      <c r="P30" s="232"/>
      <c r="Q30" s="231">
        <f>R29/Q29</f>
        <v>1</v>
      </c>
      <c r="R30" s="232"/>
      <c r="S30" s="252">
        <f>T29/S29</f>
        <v>1</v>
      </c>
      <c r="T30" s="253"/>
      <c r="U30" s="252">
        <f>V29/U29</f>
        <v>1</v>
      </c>
      <c r="V30" s="253"/>
      <c r="W30" s="252">
        <f>X29/W29</f>
        <v>0.68965517241379315</v>
      </c>
      <c r="X30" s="253"/>
      <c r="Y30" s="252">
        <f>Z29/Y29</f>
        <v>0.9</v>
      </c>
      <c r="Z30" s="253"/>
      <c r="AA30" s="252">
        <f>AB29/AA29</f>
        <v>0.88888888888888884</v>
      </c>
      <c r="AB30" s="253"/>
      <c r="AC30" s="252">
        <f>AD29/AC29</f>
        <v>0.875</v>
      </c>
      <c r="AD30" s="253"/>
      <c r="AE30" s="252">
        <f>AF29/AE29</f>
        <v>0.9285714285714286</v>
      </c>
      <c r="AF30" s="253"/>
      <c r="AG30" s="252">
        <f>AH29/AG29</f>
        <v>0.92307692307692313</v>
      </c>
      <c r="AH30" s="253"/>
      <c r="AI30" s="252">
        <f>AJ29/AI29</f>
        <v>1</v>
      </c>
      <c r="AJ30" s="253"/>
      <c r="AK30" s="70"/>
    </row>
    <row r="31" spans="1:37">
      <c r="A31" s="259">
        <v>120049433</v>
      </c>
      <c r="B31" s="245">
        <v>30</v>
      </c>
      <c r="C31" s="221" t="s">
        <v>39</v>
      </c>
      <c r="D31" s="8" t="s">
        <v>40</v>
      </c>
      <c r="E31" s="233">
        <v>46066</v>
      </c>
      <c r="F31" s="248"/>
      <c r="G31" s="249">
        <f>WORKDAY.INTL(E31,0,11)</f>
        <v>46066</v>
      </c>
      <c r="H31" s="250"/>
      <c r="I31" s="249">
        <f>WORKDAY.INTL(G31,0,11)</f>
        <v>46066</v>
      </c>
      <c r="J31" s="250"/>
      <c r="K31" s="249">
        <f>WORKDAY.INTL(I31,0,11)</f>
        <v>46066</v>
      </c>
      <c r="L31" s="250"/>
      <c r="M31" s="233">
        <f>WORKDAY.INTL(E31,0,11)</f>
        <v>46066</v>
      </c>
      <c r="N31" s="234"/>
      <c r="O31" s="233">
        <f t="shared" ref="O31" si="75">WORKDAY.INTL(M31,0,11)</f>
        <v>46066</v>
      </c>
      <c r="P31" s="234"/>
      <c r="Q31" s="233">
        <f t="shared" ref="Q31" si="76">WORKDAY.INTL(O31,0,11)</f>
        <v>46066</v>
      </c>
      <c r="R31" s="234"/>
      <c r="S31" s="233">
        <f t="shared" ref="S31" si="77">WORKDAY.INTL(Q31,0,11)</f>
        <v>46066</v>
      </c>
      <c r="T31" s="234"/>
      <c r="U31" s="233">
        <f t="shared" ref="U31" si="78">WORKDAY.INTL(S31,0,11)</f>
        <v>46066</v>
      </c>
      <c r="V31" s="234"/>
      <c r="W31" s="233">
        <f>WORKDAY.INTL(U31,2,11)</f>
        <v>46069</v>
      </c>
      <c r="X31" s="234"/>
      <c r="Y31" s="233">
        <f t="shared" ref="Y31" si="79">WORKDAY.INTL(W31,0,11)</f>
        <v>46069</v>
      </c>
      <c r="Z31" s="234"/>
      <c r="AA31" s="233">
        <f>WORKDAY.INTL(Y31,1,11)</f>
        <v>46070</v>
      </c>
      <c r="AB31" s="234"/>
      <c r="AC31" s="233">
        <f t="shared" ref="AC31" si="80">WORKDAY.INTL(AA31,0,11)</f>
        <v>46070</v>
      </c>
      <c r="AD31" s="234"/>
      <c r="AE31" s="233">
        <f>WORKDAY.INTL(AC31,0,11)</f>
        <v>46070</v>
      </c>
      <c r="AF31" s="234"/>
      <c r="AG31" s="233">
        <f t="shared" ref="AG31" si="81">WORKDAY.INTL(AE31,0,11)</f>
        <v>46070</v>
      </c>
      <c r="AH31" s="234"/>
      <c r="AI31" s="233">
        <f t="shared" ref="AI31" si="82">WORKDAY.INTL(AG31,0,11)</f>
        <v>46070</v>
      </c>
      <c r="AJ31" s="234"/>
      <c r="AK31" s="70"/>
    </row>
    <row r="32" spans="1:37">
      <c r="A32" s="260"/>
      <c r="B32" s="246"/>
      <c r="C32" s="194"/>
      <c r="D32" s="9" t="s">
        <v>41</v>
      </c>
      <c r="E32" s="235">
        <v>46066</v>
      </c>
      <c r="F32" s="236"/>
      <c r="G32" s="235"/>
      <c r="H32" s="237"/>
      <c r="I32" s="235"/>
      <c r="J32" s="237"/>
      <c r="K32" s="235"/>
      <c r="L32" s="237"/>
      <c r="M32" s="235">
        <v>46066</v>
      </c>
      <c r="N32" s="237"/>
      <c r="O32" s="235">
        <v>46066</v>
      </c>
      <c r="P32" s="237"/>
      <c r="Q32" s="235">
        <v>46066</v>
      </c>
      <c r="R32" s="237"/>
      <c r="S32" s="235">
        <v>46069</v>
      </c>
      <c r="T32" s="237"/>
      <c r="U32" s="235">
        <v>46070</v>
      </c>
      <c r="V32" s="237"/>
      <c r="W32" s="235">
        <v>46072</v>
      </c>
      <c r="X32" s="237"/>
      <c r="Y32" s="235">
        <v>46072</v>
      </c>
      <c r="Z32" s="237"/>
      <c r="AA32" s="235">
        <v>46073</v>
      </c>
      <c r="AB32" s="237"/>
      <c r="AC32" s="235">
        <v>46073</v>
      </c>
      <c r="AD32" s="237"/>
      <c r="AE32" s="235">
        <v>46073</v>
      </c>
      <c r="AF32" s="237"/>
      <c r="AG32" s="235">
        <v>46076</v>
      </c>
      <c r="AH32" s="237"/>
      <c r="AI32" s="238">
        <v>46077</v>
      </c>
      <c r="AJ32" s="239"/>
      <c r="AK32" s="70"/>
    </row>
    <row r="33" spans="1:37">
      <c r="A33" s="260"/>
      <c r="B33" s="246"/>
      <c r="C33" s="194"/>
      <c r="D33" s="9" t="s">
        <v>33</v>
      </c>
      <c r="E33" s="12">
        <v>30</v>
      </c>
      <c r="F33" s="122">
        <v>30</v>
      </c>
      <c r="G33" s="122">
        <v>30</v>
      </c>
      <c r="H33" s="122">
        <v>30</v>
      </c>
      <c r="I33" s="122">
        <v>30</v>
      </c>
      <c r="J33" s="128">
        <v>28</v>
      </c>
      <c r="K33" s="122">
        <v>28</v>
      </c>
      <c r="L33" s="122">
        <v>28</v>
      </c>
      <c r="M33" s="12">
        <v>28</v>
      </c>
      <c r="N33" s="12">
        <v>28</v>
      </c>
      <c r="O33" s="12">
        <v>28</v>
      </c>
      <c r="P33" s="12">
        <v>28</v>
      </c>
      <c r="Q33" s="12">
        <v>28</v>
      </c>
      <c r="R33" s="12">
        <v>28</v>
      </c>
      <c r="S33" s="12">
        <v>28</v>
      </c>
      <c r="T33" s="59">
        <v>26</v>
      </c>
      <c r="U33" s="12">
        <v>26</v>
      </c>
      <c r="V33" s="12">
        <v>26</v>
      </c>
      <c r="W33" s="12">
        <v>26</v>
      </c>
      <c r="X33" s="129">
        <v>20</v>
      </c>
      <c r="Y33" s="3">
        <v>20</v>
      </c>
      <c r="Z33" s="129">
        <v>17</v>
      </c>
      <c r="AA33" s="3">
        <v>17</v>
      </c>
      <c r="AB33" s="129">
        <v>16</v>
      </c>
      <c r="AC33" s="3">
        <v>16</v>
      </c>
      <c r="AD33" s="3">
        <v>14</v>
      </c>
      <c r="AE33" s="3">
        <v>14</v>
      </c>
      <c r="AF33" s="3">
        <v>4</v>
      </c>
      <c r="AG33" s="3">
        <v>4</v>
      </c>
      <c r="AH33" s="3">
        <v>4</v>
      </c>
      <c r="AI33" s="3">
        <v>4</v>
      </c>
      <c r="AJ33" s="3">
        <v>4</v>
      </c>
      <c r="AK33" s="70">
        <f>AJ33/E33</f>
        <v>0.13333333333333333</v>
      </c>
    </row>
    <row r="34" spans="1:37">
      <c r="A34" s="261"/>
      <c r="B34" s="247"/>
      <c r="C34" s="195"/>
      <c r="D34" s="10" t="s">
        <v>22</v>
      </c>
      <c r="E34" s="231">
        <f>F33/E33</f>
        <v>1</v>
      </c>
      <c r="F34" s="251"/>
      <c r="G34" s="231">
        <f t="shared" ref="G34" si="83">H33/G33</f>
        <v>1</v>
      </c>
      <c r="H34" s="251"/>
      <c r="I34" s="231">
        <f t="shared" ref="I34" si="84">J33/I33</f>
        <v>0.93333333333333335</v>
      </c>
      <c r="J34" s="251"/>
      <c r="K34" s="231">
        <f t="shared" ref="K34" si="85">L33/K33</f>
        <v>1</v>
      </c>
      <c r="L34" s="251"/>
      <c r="M34" s="231">
        <f>N33/M33</f>
        <v>1</v>
      </c>
      <c r="N34" s="232"/>
      <c r="O34" s="231">
        <f>P33/O33</f>
        <v>1</v>
      </c>
      <c r="P34" s="232"/>
      <c r="Q34" s="231">
        <f>R33/Q33</f>
        <v>1</v>
      </c>
      <c r="R34" s="232"/>
      <c r="S34" s="252">
        <f>T33/S33</f>
        <v>0.9285714285714286</v>
      </c>
      <c r="T34" s="253"/>
      <c r="U34" s="252">
        <f>V33/U33</f>
        <v>1</v>
      </c>
      <c r="V34" s="253"/>
      <c r="W34" s="252">
        <f>X33/W33</f>
        <v>0.76923076923076927</v>
      </c>
      <c r="X34" s="253"/>
      <c r="Y34" s="252">
        <f>Z33/Y33</f>
        <v>0.85</v>
      </c>
      <c r="Z34" s="253"/>
      <c r="AA34" s="252">
        <f>AB33/AA33</f>
        <v>0.94117647058823528</v>
      </c>
      <c r="AB34" s="253"/>
      <c r="AC34" s="252">
        <f>AD33/AC33</f>
        <v>0.875</v>
      </c>
      <c r="AD34" s="253"/>
      <c r="AE34" s="252">
        <f>AF33/AE33</f>
        <v>0.2857142857142857</v>
      </c>
      <c r="AF34" s="253"/>
      <c r="AG34" s="252">
        <f>AH33/AG33</f>
        <v>1</v>
      </c>
      <c r="AH34" s="253"/>
      <c r="AI34" s="252">
        <f>AJ33/AI33</f>
        <v>1</v>
      </c>
      <c r="AJ34" s="253"/>
      <c r="AK34" s="70"/>
    </row>
    <row r="35" spans="1:37">
      <c r="A35" s="259">
        <v>120049434</v>
      </c>
      <c r="B35" s="245">
        <v>30</v>
      </c>
      <c r="C35" s="221" t="s">
        <v>39</v>
      </c>
      <c r="D35" s="8" t="s">
        <v>40</v>
      </c>
      <c r="E35" s="233">
        <v>46069</v>
      </c>
      <c r="F35" s="248"/>
      <c r="G35" s="249">
        <f>WORKDAY.INTL(E35,0,11)</f>
        <v>46069</v>
      </c>
      <c r="H35" s="250"/>
      <c r="I35" s="249">
        <f>WORKDAY.INTL(G35,0,11)</f>
        <v>46069</v>
      </c>
      <c r="J35" s="250"/>
      <c r="K35" s="249">
        <f>WORKDAY.INTL(I35,0,11)</f>
        <v>46069</v>
      </c>
      <c r="L35" s="250"/>
      <c r="M35" s="233">
        <f>WORKDAY.INTL(E35,0,11)</f>
        <v>46069</v>
      </c>
      <c r="N35" s="234"/>
      <c r="O35" s="233">
        <f t="shared" ref="O35" si="86">WORKDAY.INTL(M35,0,11)</f>
        <v>46069</v>
      </c>
      <c r="P35" s="234"/>
      <c r="Q35" s="233">
        <f t="shared" ref="Q35" si="87">WORKDAY.INTL(O35,0,11)</f>
        <v>46069</v>
      </c>
      <c r="R35" s="234"/>
      <c r="S35" s="233">
        <f t="shared" ref="S35" si="88">WORKDAY.INTL(Q35,0,11)</f>
        <v>46069</v>
      </c>
      <c r="T35" s="234"/>
      <c r="U35" s="233">
        <f t="shared" ref="U35" si="89">WORKDAY.INTL(S35,0,11)</f>
        <v>46069</v>
      </c>
      <c r="V35" s="234"/>
      <c r="W35" s="233">
        <f>WORKDAY.INTL(U35,2,11)</f>
        <v>46071</v>
      </c>
      <c r="X35" s="234"/>
      <c r="Y35" s="233">
        <f t="shared" ref="Y35" si="90">WORKDAY.INTL(W35,0,11)</f>
        <v>46071</v>
      </c>
      <c r="Z35" s="234"/>
      <c r="AA35" s="233">
        <f>WORKDAY.INTL(Y35,1,11)</f>
        <v>46072</v>
      </c>
      <c r="AB35" s="234"/>
      <c r="AC35" s="233">
        <f t="shared" ref="AC35" si="91">WORKDAY.INTL(AA35,0,11)</f>
        <v>46072</v>
      </c>
      <c r="AD35" s="234"/>
      <c r="AE35" s="233">
        <f>WORKDAY.INTL(AC35,0,11)</f>
        <v>46072</v>
      </c>
      <c r="AF35" s="234"/>
      <c r="AG35" s="233">
        <f t="shared" ref="AG35" si="92">WORKDAY.INTL(AE35,0,11)</f>
        <v>46072</v>
      </c>
      <c r="AH35" s="234"/>
      <c r="AI35" s="233">
        <f t="shared" ref="AI35" si="93">WORKDAY.INTL(AG35,0,11)</f>
        <v>46072</v>
      </c>
      <c r="AJ35" s="234"/>
      <c r="AK35" s="70"/>
    </row>
    <row r="36" spans="1:37">
      <c r="A36" s="260"/>
      <c r="B36" s="246"/>
      <c r="C36" s="194"/>
      <c r="D36" s="9" t="s">
        <v>41</v>
      </c>
      <c r="E36" s="235">
        <v>46069</v>
      </c>
      <c r="F36" s="236"/>
      <c r="G36" s="235"/>
      <c r="H36" s="237"/>
      <c r="I36" s="235"/>
      <c r="J36" s="237"/>
      <c r="K36" s="235"/>
      <c r="L36" s="237"/>
      <c r="M36" s="235">
        <v>46069</v>
      </c>
      <c r="N36" s="237"/>
      <c r="O36" s="235">
        <v>46069</v>
      </c>
      <c r="P36" s="237"/>
      <c r="Q36" s="235">
        <v>46069</v>
      </c>
      <c r="R36" s="237"/>
      <c r="S36" s="235">
        <v>46070</v>
      </c>
      <c r="T36" s="237"/>
      <c r="U36" s="235">
        <v>46071</v>
      </c>
      <c r="V36" s="237"/>
      <c r="W36" s="235">
        <v>46072</v>
      </c>
      <c r="X36" s="237"/>
      <c r="Y36" s="235">
        <v>46072</v>
      </c>
      <c r="Z36" s="237"/>
      <c r="AA36" s="235">
        <v>46073</v>
      </c>
      <c r="AB36" s="237"/>
      <c r="AC36" s="235">
        <v>46073</v>
      </c>
      <c r="AD36" s="237"/>
      <c r="AE36" s="235">
        <v>46073</v>
      </c>
      <c r="AF36" s="237"/>
      <c r="AG36" s="235">
        <v>46076</v>
      </c>
      <c r="AH36" s="237"/>
      <c r="AI36" s="238">
        <v>46077</v>
      </c>
      <c r="AJ36" s="239"/>
      <c r="AK36" s="70"/>
    </row>
    <row r="37" spans="1:37">
      <c r="A37" s="260"/>
      <c r="B37" s="246"/>
      <c r="C37" s="194"/>
      <c r="D37" s="9" t="s">
        <v>33</v>
      </c>
      <c r="E37" s="12">
        <v>30</v>
      </c>
      <c r="F37" s="122">
        <v>30</v>
      </c>
      <c r="G37" s="122">
        <v>30</v>
      </c>
      <c r="H37" s="122">
        <v>30</v>
      </c>
      <c r="I37" s="122">
        <v>30</v>
      </c>
      <c r="J37" s="122">
        <v>30</v>
      </c>
      <c r="K37" s="122">
        <v>30</v>
      </c>
      <c r="L37" s="122">
        <v>30</v>
      </c>
      <c r="M37" s="12">
        <v>30</v>
      </c>
      <c r="N37" s="12">
        <v>30</v>
      </c>
      <c r="O37" s="12">
        <v>30</v>
      </c>
      <c r="P37" s="12">
        <v>30</v>
      </c>
      <c r="Q37" s="12">
        <v>30</v>
      </c>
      <c r="R37" s="12">
        <v>30</v>
      </c>
      <c r="S37" s="12">
        <v>30</v>
      </c>
      <c r="T37" s="12">
        <v>30</v>
      </c>
      <c r="U37" s="12">
        <v>30</v>
      </c>
      <c r="V37" s="12">
        <v>30</v>
      </c>
      <c r="W37" s="12">
        <v>30</v>
      </c>
      <c r="X37" s="3">
        <v>19</v>
      </c>
      <c r="Y37" s="3">
        <v>19</v>
      </c>
      <c r="Z37" s="129">
        <v>17</v>
      </c>
      <c r="AA37" s="3">
        <v>17</v>
      </c>
      <c r="AB37" s="3">
        <v>17</v>
      </c>
      <c r="AC37" s="3">
        <v>17</v>
      </c>
      <c r="AD37" s="3">
        <v>12</v>
      </c>
      <c r="AE37" s="3">
        <v>12</v>
      </c>
      <c r="AF37" s="3">
        <v>12</v>
      </c>
      <c r="AG37" s="3">
        <v>12</v>
      </c>
      <c r="AH37" s="3">
        <v>12</v>
      </c>
      <c r="AI37" s="3">
        <v>12</v>
      </c>
      <c r="AJ37" s="3">
        <v>12</v>
      </c>
      <c r="AK37" s="70">
        <f>AJ37/E37</f>
        <v>0.4</v>
      </c>
    </row>
    <row r="38" spans="1:37">
      <c r="A38" s="261"/>
      <c r="B38" s="247"/>
      <c r="C38" s="195"/>
      <c r="D38" s="10" t="s">
        <v>22</v>
      </c>
      <c r="E38" s="231">
        <f>F37/E37</f>
        <v>1</v>
      </c>
      <c r="F38" s="251"/>
      <c r="G38" s="231">
        <f t="shared" ref="G38" si="94">H37/G37</f>
        <v>1</v>
      </c>
      <c r="H38" s="251"/>
      <c r="I38" s="231">
        <f t="shared" ref="I38" si="95">J37/I37</f>
        <v>1</v>
      </c>
      <c r="J38" s="251"/>
      <c r="K38" s="231">
        <f t="shared" ref="K38" si="96">L37/K37</f>
        <v>1</v>
      </c>
      <c r="L38" s="251"/>
      <c r="M38" s="231">
        <f>N37/M37</f>
        <v>1</v>
      </c>
      <c r="N38" s="232"/>
      <c r="O38" s="231">
        <f>P37/O37</f>
        <v>1</v>
      </c>
      <c r="P38" s="232"/>
      <c r="Q38" s="231">
        <f>R37/Q37</f>
        <v>1</v>
      </c>
      <c r="R38" s="232"/>
      <c r="S38" s="252">
        <f>T37/S37</f>
        <v>1</v>
      </c>
      <c r="T38" s="253"/>
      <c r="U38" s="252">
        <f>V37/U37</f>
        <v>1</v>
      </c>
      <c r="V38" s="253"/>
      <c r="W38" s="252">
        <f>X37/W37</f>
        <v>0.6333333333333333</v>
      </c>
      <c r="X38" s="253"/>
      <c r="Y38" s="252">
        <f>Z37/Y37</f>
        <v>0.89473684210526316</v>
      </c>
      <c r="Z38" s="253"/>
      <c r="AA38" s="252">
        <f>AB37/AA37</f>
        <v>1</v>
      </c>
      <c r="AB38" s="253"/>
      <c r="AC38" s="252">
        <f>AD37/AC37</f>
        <v>0.70588235294117652</v>
      </c>
      <c r="AD38" s="253"/>
      <c r="AE38" s="252">
        <f>AF37/AE37</f>
        <v>1</v>
      </c>
      <c r="AF38" s="253"/>
      <c r="AG38" s="252">
        <f>AH37/AG37</f>
        <v>1</v>
      </c>
      <c r="AH38" s="253"/>
      <c r="AI38" s="252">
        <f>AJ37/AI37</f>
        <v>1</v>
      </c>
      <c r="AJ38" s="253"/>
      <c r="AK38" s="70"/>
    </row>
    <row r="39" spans="1:37">
      <c r="A39" s="242">
        <v>120049852</v>
      </c>
      <c r="B39" s="245">
        <v>20</v>
      </c>
      <c r="C39" s="221" t="s">
        <v>39</v>
      </c>
      <c r="D39" s="8" t="s">
        <v>40</v>
      </c>
      <c r="E39" s="233">
        <v>46072</v>
      </c>
      <c r="F39" s="248"/>
      <c r="G39" s="249">
        <f>WORKDAY.INTL(E39,0,11)</f>
        <v>46072</v>
      </c>
      <c r="H39" s="250"/>
      <c r="I39" s="249">
        <f>WORKDAY.INTL(G39,0,11)</f>
        <v>46072</v>
      </c>
      <c r="J39" s="250"/>
      <c r="K39" s="249">
        <f>WORKDAY.INTL(I39,0,11)</f>
        <v>46072</v>
      </c>
      <c r="L39" s="250"/>
      <c r="M39" s="233">
        <f>WORKDAY.INTL(E39,0,11)</f>
        <v>46072</v>
      </c>
      <c r="N39" s="234"/>
      <c r="O39" s="233">
        <f t="shared" ref="O39" si="97">WORKDAY.INTL(M39,0,11)</f>
        <v>46072</v>
      </c>
      <c r="P39" s="234"/>
      <c r="Q39" s="233">
        <f t="shared" ref="Q39" si="98">WORKDAY.INTL(O39,0,11)</f>
        <v>46072</v>
      </c>
      <c r="R39" s="234"/>
      <c r="S39" s="233">
        <f t="shared" ref="S39" si="99">WORKDAY.INTL(Q39,0,11)</f>
        <v>46072</v>
      </c>
      <c r="T39" s="234"/>
      <c r="U39" s="233">
        <f t="shared" ref="U39" si="100">WORKDAY.INTL(S39,0,11)</f>
        <v>46072</v>
      </c>
      <c r="V39" s="234"/>
      <c r="W39" s="233">
        <f>WORKDAY.INTL(U39,2,11)</f>
        <v>46074</v>
      </c>
      <c r="X39" s="234"/>
      <c r="Y39" s="233">
        <f t="shared" ref="Y39" si="101">WORKDAY.INTL(W39,0,11)</f>
        <v>46074</v>
      </c>
      <c r="Z39" s="234"/>
      <c r="AA39" s="233">
        <f>WORKDAY.INTL(Y39,1,11)</f>
        <v>46076</v>
      </c>
      <c r="AB39" s="234"/>
      <c r="AC39" s="233">
        <f t="shared" ref="AC39" si="102">WORKDAY.INTL(AA39,0,11)</f>
        <v>46076</v>
      </c>
      <c r="AD39" s="234"/>
      <c r="AE39" s="233">
        <f>WORKDAY.INTL(AC39,0,11)</f>
        <v>46076</v>
      </c>
      <c r="AF39" s="234"/>
      <c r="AG39" s="233">
        <f t="shared" ref="AG39" si="103">WORKDAY.INTL(AE39,0,11)</f>
        <v>46076</v>
      </c>
      <c r="AH39" s="234"/>
      <c r="AI39" s="233">
        <f t="shared" ref="AI39" si="104">WORKDAY.INTL(AG39,0,11)</f>
        <v>46076</v>
      </c>
      <c r="AJ39" s="234"/>
      <c r="AK39" s="70"/>
    </row>
    <row r="40" spans="1:37">
      <c r="A40" s="243"/>
      <c r="B40" s="246"/>
      <c r="C40" s="194"/>
      <c r="D40" s="9" t="s">
        <v>41</v>
      </c>
      <c r="E40" s="235">
        <v>46072</v>
      </c>
      <c r="F40" s="236"/>
      <c r="G40" s="235"/>
      <c r="H40" s="237"/>
      <c r="I40" s="235"/>
      <c r="J40" s="237"/>
      <c r="K40" s="235"/>
      <c r="L40" s="237"/>
      <c r="M40" s="235">
        <v>46072</v>
      </c>
      <c r="N40" s="237"/>
      <c r="O40" s="235">
        <v>46072</v>
      </c>
      <c r="P40" s="237"/>
      <c r="Q40" s="235">
        <v>46072</v>
      </c>
      <c r="R40" s="237"/>
      <c r="S40" s="235">
        <v>46072</v>
      </c>
      <c r="T40" s="237"/>
      <c r="U40" s="235">
        <v>46073</v>
      </c>
      <c r="V40" s="237"/>
      <c r="W40" s="235">
        <v>46073</v>
      </c>
      <c r="X40" s="237"/>
      <c r="Y40" s="235">
        <v>46076</v>
      </c>
      <c r="Z40" s="237"/>
      <c r="AA40" s="235">
        <v>46077</v>
      </c>
      <c r="AB40" s="237"/>
      <c r="AC40" s="235">
        <v>46079</v>
      </c>
      <c r="AD40" s="237"/>
      <c r="AE40" s="235">
        <v>46080</v>
      </c>
      <c r="AF40" s="237"/>
      <c r="AG40" s="235">
        <v>46083</v>
      </c>
      <c r="AH40" s="237"/>
      <c r="AI40" s="238">
        <v>46085</v>
      </c>
      <c r="AJ40" s="239"/>
      <c r="AK40" s="70"/>
    </row>
    <row r="41" spans="1:37">
      <c r="A41" s="243"/>
      <c r="B41" s="246"/>
      <c r="C41" s="194"/>
      <c r="D41" s="9" t="s">
        <v>33</v>
      </c>
      <c r="E41" s="12">
        <v>20</v>
      </c>
      <c r="F41" s="122">
        <v>20</v>
      </c>
      <c r="G41" s="122">
        <v>20</v>
      </c>
      <c r="H41" s="122">
        <v>20</v>
      </c>
      <c r="I41" s="122">
        <v>20</v>
      </c>
      <c r="J41" s="122">
        <v>20</v>
      </c>
      <c r="K41" s="122">
        <v>20</v>
      </c>
      <c r="L41" s="122">
        <v>20</v>
      </c>
      <c r="M41" s="12">
        <v>20</v>
      </c>
      <c r="N41" s="12">
        <v>20</v>
      </c>
      <c r="O41" s="12">
        <v>20</v>
      </c>
      <c r="P41" s="12">
        <v>20</v>
      </c>
      <c r="Q41" s="12">
        <v>20</v>
      </c>
      <c r="R41" s="12">
        <v>20</v>
      </c>
      <c r="S41" s="12">
        <v>20</v>
      </c>
      <c r="T41" s="12">
        <v>20</v>
      </c>
      <c r="U41" s="12">
        <v>20</v>
      </c>
      <c r="V41" s="12">
        <v>20</v>
      </c>
      <c r="W41" s="12">
        <v>20</v>
      </c>
      <c r="X41" s="129">
        <v>18</v>
      </c>
      <c r="Y41" s="3">
        <v>18</v>
      </c>
      <c r="Z41" s="129">
        <v>8</v>
      </c>
      <c r="AA41" s="3">
        <v>8</v>
      </c>
      <c r="AB41" s="3">
        <v>8</v>
      </c>
      <c r="AC41" s="3">
        <v>8</v>
      </c>
      <c r="AD41" s="3">
        <v>8</v>
      </c>
      <c r="AE41" s="3">
        <v>8</v>
      </c>
      <c r="AF41" s="3">
        <v>2</v>
      </c>
      <c r="AG41" s="3">
        <v>2</v>
      </c>
      <c r="AH41" s="3">
        <v>2</v>
      </c>
      <c r="AI41" s="3">
        <v>2</v>
      </c>
      <c r="AJ41" s="3">
        <v>2</v>
      </c>
      <c r="AK41" s="70">
        <f>AJ41/E41</f>
        <v>0.1</v>
      </c>
    </row>
    <row r="42" spans="1:37">
      <c r="A42" s="244"/>
      <c r="B42" s="247"/>
      <c r="C42" s="195"/>
      <c r="D42" s="10" t="s">
        <v>22</v>
      </c>
      <c r="E42" s="231">
        <f>F41/E41</f>
        <v>1</v>
      </c>
      <c r="F42" s="251"/>
      <c r="G42" s="231">
        <f t="shared" ref="G42" si="105">H41/G41</f>
        <v>1</v>
      </c>
      <c r="H42" s="251"/>
      <c r="I42" s="231">
        <f t="shared" ref="I42" si="106">J41/I41</f>
        <v>1</v>
      </c>
      <c r="J42" s="251"/>
      <c r="K42" s="231">
        <f t="shared" ref="K42" si="107">L41/K41</f>
        <v>1</v>
      </c>
      <c r="L42" s="251"/>
      <c r="M42" s="231">
        <f>N41/M41</f>
        <v>1</v>
      </c>
      <c r="N42" s="232"/>
      <c r="O42" s="231">
        <f>P41/O41</f>
        <v>1</v>
      </c>
      <c r="P42" s="232"/>
      <c r="Q42" s="231">
        <f>R41/Q41</f>
        <v>1</v>
      </c>
      <c r="R42" s="232"/>
      <c r="S42" s="252">
        <f>T41/S41</f>
        <v>1</v>
      </c>
      <c r="T42" s="253"/>
      <c r="U42" s="252">
        <f>V41/U41</f>
        <v>1</v>
      </c>
      <c r="V42" s="253"/>
      <c r="W42" s="252">
        <f>X41/W41</f>
        <v>0.9</v>
      </c>
      <c r="X42" s="253"/>
      <c r="Y42" s="252">
        <f>Z41/Y41</f>
        <v>0.44444444444444442</v>
      </c>
      <c r="Z42" s="253"/>
      <c r="AA42" s="252">
        <f>AB41/AA41</f>
        <v>1</v>
      </c>
      <c r="AB42" s="253"/>
      <c r="AC42" s="252">
        <f>AD41/AC41</f>
        <v>1</v>
      </c>
      <c r="AD42" s="253"/>
      <c r="AE42" s="252">
        <f>AF41/AE41</f>
        <v>0.25</v>
      </c>
      <c r="AF42" s="253"/>
      <c r="AG42" s="252">
        <f>AH41/AG41</f>
        <v>1</v>
      </c>
      <c r="AH42" s="253"/>
      <c r="AI42" s="252">
        <f>AJ41/AI41</f>
        <v>1</v>
      </c>
      <c r="AJ42" s="253"/>
      <c r="AK42" s="70"/>
    </row>
    <row r="43" spans="1:37">
      <c r="A43" s="242">
        <v>120049853</v>
      </c>
      <c r="B43" s="245">
        <v>25</v>
      </c>
      <c r="C43" s="221" t="s">
        <v>39</v>
      </c>
      <c r="D43" s="8" t="s">
        <v>40</v>
      </c>
      <c r="E43" s="233">
        <v>46072</v>
      </c>
      <c r="F43" s="248"/>
      <c r="G43" s="249">
        <f>WORKDAY.INTL(E43,0,11)</f>
        <v>46072</v>
      </c>
      <c r="H43" s="250"/>
      <c r="I43" s="249">
        <f>WORKDAY.INTL(G43,0,11)</f>
        <v>46072</v>
      </c>
      <c r="J43" s="250"/>
      <c r="K43" s="249">
        <f>WORKDAY.INTL(I43,0,11)</f>
        <v>46072</v>
      </c>
      <c r="L43" s="250"/>
      <c r="M43" s="233">
        <f>WORKDAY.INTL(E43,0,11)</f>
        <v>46072</v>
      </c>
      <c r="N43" s="234"/>
      <c r="O43" s="233">
        <f t="shared" ref="O43" si="108">WORKDAY.INTL(M43,0,11)</f>
        <v>46072</v>
      </c>
      <c r="P43" s="234"/>
      <c r="Q43" s="233">
        <f t="shared" ref="Q43" si="109">WORKDAY.INTL(O43,0,11)</f>
        <v>46072</v>
      </c>
      <c r="R43" s="234"/>
      <c r="S43" s="233">
        <f t="shared" ref="S43" si="110">WORKDAY.INTL(Q43,0,11)</f>
        <v>46072</v>
      </c>
      <c r="T43" s="234"/>
      <c r="U43" s="233">
        <f t="shared" ref="U43" si="111">WORKDAY.INTL(S43,0,11)</f>
        <v>46072</v>
      </c>
      <c r="V43" s="234"/>
      <c r="W43" s="233">
        <f>WORKDAY.INTL(U43,2,11)</f>
        <v>46074</v>
      </c>
      <c r="X43" s="234"/>
      <c r="Y43" s="233">
        <f t="shared" ref="Y43" si="112">WORKDAY.INTL(W43,0,11)</f>
        <v>46074</v>
      </c>
      <c r="Z43" s="234"/>
      <c r="AA43" s="233">
        <f>WORKDAY.INTL(Y43,1,11)</f>
        <v>46076</v>
      </c>
      <c r="AB43" s="234"/>
      <c r="AC43" s="233">
        <f t="shared" ref="AC43" si="113">WORKDAY.INTL(AA43,0,11)</f>
        <v>46076</v>
      </c>
      <c r="AD43" s="234"/>
      <c r="AE43" s="233">
        <f>WORKDAY.INTL(AC43,0,11)</f>
        <v>46076</v>
      </c>
      <c r="AF43" s="234"/>
      <c r="AG43" s="233">
        <f t="shared" ref="AG43" si="114">WORKDAY.INTL(AE43,0,11)</f>
        <v>46076</v>
      </c>
      <c r="AH43" s="234"/>
      <c r="AI43" s="233">
        <f t="shared" ref="AI43" si="115">WORKDAY.INTL(AG43,0,11)</f>
        <v>46076</v>
      </c>
      <c r="AJ43" s="234"/>
      <c r="AK43" s="70"/>
    </row>
    <row r="44" spans="1:37">
      <c r="A44" s="243"/>
      <c r="B44" s="246"/>
      <c r="C44" s="194"/>
      <c r="D44" s="9" t="s">
        <v>41</v>
      </c>
      <c r="E44" s="235">
        <v>46072</v>
      </c>
      <c r="F44" s="236"/>
      <c r="G44" s="235">
        <v>46072</v>
      </c>
      <c r="H44" s="237"/>
      <c r="I44" s="235">
        <v>46100</v>
      </c>
      <c r="J44" s="237"/>
      <c r="K44" s="235">
        <v>46100</v>
      </c>
      <c r="L44" s="237"/>
      <c r="M44" s="235">
        <v>46073</v>
      </c>
      <c r="N44" s="237"/>
      <c r="O44" s="235">
        <v>46073</v>
      </c>
      <c r="P44" s="237"/>
      <c r="Q44" s="235">
        <v>46073</v>
      </c>
      <c r="R44" s="237"/>
      <c r="S44" s="235">
        <v>46073</v>
      </c>
      <c r="T44" s="237"/>
      <c r="U44" s="235">
        <v>46077</v>
      </c>
      <c r="V44" s="237"/>
      <c r="W44" s="235">
        <v>46106</v>
      </c>
      <c r="X44" s="237"/>
      <c r="Y44" s="235">
        <v>46106</v>
      </c>
      <c r="Z44" s="237"/>
      <c r="AA44" s="235">
        <v>46107</v>
      </c>
      <c r="AB44" s="237"/>
      <c r="AC44" s="235">
        <v>46107</v>
      </c>
      <c r="AD44" s="237"/>
      <c r="AE44" s="235">
        <v>46083</v>
      </c>
      <c r="AF44" s="237"/>
      <c r="AG44" s="235">
        <v>46085</v>
      </c>
      <c r="AH44" s="237"/>
      <c r="AI44" s="238">
        <v>46085</v>
      </c>
      <c r="AJ44" s="239"/>
      <c r="AK44" s="70"/>
    </row>
    <row r="45" spans="1:37">
      <c r="A45" s="243"/>
      <c r="B45" s="246"/>
      <c r="C45" s="194"/>
      <c r="D45" s="9" t="s">
        <v>33</v>
      </c>
      <c r="E45" s="12">
        <v>25</v>
      </c>
      <c r="F45" s="122">
        <v>25</v>
      </c>
      <c r="G45" s="122">
        <v>25</v>
      </c>
      <c r="H45" s="122">
        <v>25</v>
      </c>
      <c r="I45" s="122">
        <v>25</v>
      </c>
      <c r="J45" s="122">
        <v>25</v>
      </c>
      <c r="K45" s="122">
        <v>25</v>
      </c>
      <c r="L45" s="122">
        <v>25</v>
      </c>
      <c r="M45" s="12">
        <v>25</v>
      </c>
      <c r="N45" s="12">
        <v>25</v>
      </c>
      <c r="O45" s="12">
        <v>25</v>
      </c>
      <c r="P45" s="12">
        <v>25</v>
      </c>
      <c r="Q45" s="12">
        <v>25</v>
      </c>
      <c r="R45" s="12">
        <v>25</v>
      </c>
      <c r="S45" s="12">
        <v>25</v>
      </c>
      <c r="T45" s="12">
        <v>25</v>
      </c>
      <c r="U45" s="12">
        <v>25</v>
      </c>
      <c r="V45" s="12">
        <v>18</v>
      </c>
      <c r="W45" s="12">
        <v>18</v>
      </c>
      <c r="X45" s="59">
        <v>11</v>
      </c>
      <c r="Y45" s="12">
        <v>11</v>
      </c>
      <c r="Z45" s="12">
        <v>7</v>
      </c>
      <c r="AA45" s="12">
        <v>7</v>
      </c>
      <c r="AB45" s="12">
        <v>7</v>
      </c>
      <c r="AC45" s="12">
        <v>7</v>
      </c>
      <c r="AD45" s="12">
        <v>4</v>
      </c>
      <c r="AE45" s="12">
        <v>4</v>
      </c>
      <c r="AF45" s="12">
        <v>3</v>
      </c>
      <c r="AG45" s="12">
        <v>3</v>
      </c>
      <c r="AH45" s="59">
        <v>2</v>
      </c>
      <c r="AI45" s="12">
        <v>2</v>
      </c>
      <c r="AJ45" s="12">
        <v>2</v>
      </c>
      <c r="AK45" s="70">
        <f>AJ45/E45</f>
        <v>0.08</v>
      </c>
    </row>
    <row r="46" spans="1:37">
      <c r="A46" s="244"/>
      <c r="B46" s="247"/>
      <c r="C46" s="195"/>
      <c r="D46" s="10" t="s">
        <v>22</v>
      </c>
      <c r="E46" s="231">
        <f>F45/E45</f>
        <v>1</v>
      </c>
      <c r="F46" s="251"/>
      <c r="G46" s="231">
        <f t="shared" ref="G46" si="116">H45/G45</f>
        <v>1</v>
      </c>
      <c r="H46" s="251"/>
      <c r="I46" s="231">
        <f t="shared" ref="I46" si="117">J45/I45</f>
        <v>1</v>
      </c>
      <c r="J46" s="251"/>
      <c r="K46" s="231">
        <f t="shared" ref="K46" si="118">L45/K45</f>
        <v>1</v>
      </c>
      <c r="L46" s="251"/>
      <c r="M46" s="231">
        <f>N45/M45</f>
        <v>1</v>
      </c>
      <c r="N46" s="232"/>
      <c r="O46" s="231">
        <f>P45/O45</f>
        <v>1</v>
      </c>
      <c r="P46" s="232"/>
      <c r="Q46" s="231">
        <f>R45/Q45</f>
        <v>1</v>
      </c>
      <c r="R46" s="232"/>
      <c r="S46" s="231">
        <f>T45/S45</f>
        <v>1</v>
      </c>
      <c r="T46" s="232"/>
      <c r="U46" s="231">
        <f>V45/U45</f>
        <v>0.72</v>
      </c>
      <c r="V46" s="232"/>
      <c r="W46" s="231">
        <f>X45/W45</f>
        <v>0.61111111111111116</v>
      </c>
      <c r="X46" s="232"/>
      <c r="Y46" s="231">
        <f>Z45/Y45</f>
        <v>0.63636363636363635</v>
      </c>
      <c r="Z46" s="232"/>
      <c r="AA46" s="231">
        <f>AB45/AA45</f>
        <v>1</v>
      </c>
      <c r="AB46" s="232"/>
      <c r="AC46" s="231">
        <f>AD45/AC45</f>
        <v>0.5714285714285714</v>
      </c>
      <c r="AD46" s="232"/>
      <c r="AE46" s="231">
        <f>AF45/AE45</f>
        <v>0.75</v>
      </c>
      <c r="AF46" s="232"/>
      <c r="AG46" s="231">
        <f>AH45/AG45</f>
        <v>0.66666666666666663</v>
      </c>
      <c r="AH46" s="232"/>
      <c r="AI46" s="231">
        <f>AJ45/AI45</f>
        <v>1</v>
      </c>
      <c r="AJ46" s="232"/>
      <c r="AK46" s="71"/>
    </row>
    <row r="47" spans="1:37">
      <c r="A47" s="242">
        <v>120050119</v>
      </c>
      <c r="B47" s="245">
        <v>14</v>
      </c>
      <c r="C47" s="221" t="s">
        <v>39</v>
      </c>
      <c r="D47" s="8" t="s">
        <v>40</v>
      </c>
      <c r="E47" s="233">
        <v>46083</v>
      </c>
      <c r="F47" s="248"/>
      <c r="G47" s="249">
        <f>WORKDAY.INTL(E47,0,11)</f>
        <v>46083</v>
      </c>
      <c r="H47" s="250"/>
      <c r="I47" s="249">
        <f>WORKDAY.INTL(G47,0,11)</f>
        <v>46083</v>
      </c>
      <c r="J47" s="250"/>
      <c r="K47" s="249">
        <f>WORKDAY.INTL(I47,0,11)</f>
        <v>46083</v>
      </c>
      <c r="L47" s="250"/>
      <c r="M47" s="233">
        <f>WORKDAY.INTL(E47,0,11)</f>
        <v>46083</v>
      </c>
      <c r="N47" s="234"/>
      <c r="O47" s="233">
        <f t="shared" ref="O47" si="119">WORKDAY.INTL(M47,0,11)</f>
        <v>46083</v>
      </c>
      <c r="P47" s="234"/>
      <c r="Q47" s="233">
        <f t="shared" ref="Q47" si="120">WORKDAY.INTL(O47,0,11)</f>
        <v>46083</v>
      </c>
      <c r="R47" s="234"/>
      <c r="S47" s="233">
        <f t="shared" ref="S47" si="121">WORKDAY.INTL(Q47,0,11)</f>
        <v>46083</v>
      </c>
      <c r="T47" s="234"/>
      <c r="U47" s="233">
        <f t="shared" ref="U47" si="122">WORKDAY.INTL(S47,0,11)</f>
        <v>46083</v>
      </c>
      <c r="V47" s="234"/>
      <c r="W47" s="233">
        <f>WORKDAY.INTL(U47,2,11)</f>
        <v>46085</v>
      </c>
      <c r="X47" s="234"/>
      <c r="Y47" s="233">
        <f t="shared" ref="Y47" si="123">WORKDAY.INTL(W47,0,11)</f>
        <v>46085</v>
      </c>
      <c r="Z47" s="234"/>
      <c r="AA47" s="233">
        <f>WORKDAY.INTL(Y47,1,11)</f>
        <v>46086</v>
      </c>
      <c r="AB47" s="234"/>
      <c r="AC47" s="233">
        <f t="shared" ref="AC47" si="124">WORKDAY.INTL(AA47,0,11)</f>
        <v>46086</v>
      </c>
      <c r="AD47" s="234"/>
      <c r="AE47" s="233">
        <f>WORKDAY.INTL(AC47,0,11)</f>
        <v>46086</v>
      </c>
      <c r="AF47" s="234"/>
      <c r="AG47" s="233">
        <f t="shared" ref="AG47" si="125">WORKDAY.INTL(AE47,0,11)</f>
        <v>46086</v>
      </c>
      <c r="AH47" s="234"/>
      <c r="AI47" s="233">
        <f t="shared" ref="AI47" si="126">WORKDAY.INTL(AG47,0,11)</f>
        <v>46086</v>
      </c>
      <c r="AJ47" s="234"/>
      <c r="AK47" s="70"/>
    </row>
    <row r="48" spans="1:37">
      <c r="A48" s="243"/>
      <c r="B48" s="246"/>
      <c r="C48" s="194"/>
      <c r="D48" s="9" t="s">
        <v>41</v>
      </c>
      <c r="E48" s="235">
        <v>46083</v>
      </c>
      <c r="F48" s="236"/>
      <c r="G48" s="235">
        <v>46083</v>
      </c>
      <c r="H48" s="237"/>
      <c r="I48" s="235">
        <v>46083</v>
      </c>
      <c r="J48" s="237"/>
      <c r="K48" s="235">
        <v>46083</v>
      </c>
      <c r="L48" s="237"/>
      <c r="M48" s="235">
        <v>46083</v>
      </c>
      <c r="N48" s="237"/>
      <c r="O48" s="235">
        <v>46083</v>
      </c>
      <c r="P48" s="237"/>
      <c r="Q48" s="235">
        <v>46083</v>
      </c>
      <c r="R48" s="237"/>
      <c r="S48" s="235">
        <v>46083</v>
      </c>
      <c r="T48" s="237"/>
      <c r="U48" s="235">
        <v>46085</v>
      </c>
      <c r="V48" s="237"/>
      <c r="W48" s="235">
        <v>46086</v>
      </c>
      <c r="X48" s="237"/>
      <c r="Y48" s="235">
        <v>46087</v>
      </c>
      <c r="Z48" s="237"/>
      <c r="AA48" s="235">
        <v>46090</v>
      </c>
      <c r="AB48" s="237"/>
      <c r="AC48" s="235">
        <v>46090</v>
      </c>
      <c r="AD48" s="237"/>
      <c r="AE48" s="235">
        <v>46091</v>
      </c>
      <c r="AF48" s="237"/>
      <c r="AG48" s="235">
        <v>46091</v>
      </c>
      <c r="AH48" s="237"/>
      <c r="AI48" s="235">
        <v>46092</v>
      </c>
      <c r="AJ48" s="237"/>
      <c r="AK48" s="70"/>
    </row>
    <row r="49" spans="1:37">
      <c r="A49" s="243"/>
      <c r="B49" s="246"/>
      <c r="C49" s="194"/>
      <c r="D49" s="9" t="s">
        <v>33</v>
      </c>
      <c r="E49" s="12">
        <v>14</v>
      </c>
      <c r="F49" s="122">
        <v>14</v>
      </c>
      <c r="G49" s="122">
        <v>14</v>
      </c>
      <c r="H49" s="122">
        <v>14</v>
      </c>
      <c r="I49" s="122">
        <v>14</v>
      </c>
      <c r="J49" s="122">
        <v>14</v>
      </c>
      <c r="K49" s="122">
        <v>14</v>
      </c>
      <c r="L49" s="122">
        <v>14</v>
      </c>
      <c r="M49" s="12">
        <v>14</v>
      </c>
      <c r="N49" s="12">
        <v>14</v>
      </c>
      <c r="O49" s="12">
        <v>14</v>
      </c>
      <c r="P49" s="12">
        <v>14</v>
      </c>
      <c r="Q49" s="12">
        <v>14</v>
      </c>
      <c r="R49" s="12">
        <v>14</v>
      </c>
      <c r="S49" s="12">
        <v>14</v>
      </c>
      <c r="T49" s="12">
        <v>14</v>
      </c>
      <c r="U49" s="12">
        <v>14</v>
      </c>
      <c r="V49" s="12">
        <v>14</v>
      </c>
      <c r="W49" s="12">
        <v>14</v>
      </c>
      <c r="X49" s="59">
        <v>10</v>
      </c>
      <c r="Y49" s="12">
        <v>10</v>
      </c>
      <c r="Z49" s="12">
        <v>8</v>
      </c>
      <c r="AA49" s="12">
        <v>8</v>
      </c>
      <c r="AB49" s="12">
        <v>7</v>
      </c>
      <c r="AC49" s="12">
        <v>7</v>
      </c>
      <c r="AD49" s="12">
        <v>3</v>
      </c>
      <c r="AE49" s="12">
        <v>3</v>
      </c>
      <c r="AF49" s="12">
        <v>3</v>
      </c>
      <c r="AG49" s="12">
        <v>3</v>
      </c>
      <c r="AH49" s="59">
        <v>2</v>
      </c>
      <c r="AI49" s="12">
        <v>2</v>
      </c>
      <c r="AJ49" s="12">
        <v>2</v>
      </c>
      <c r="AK49" s="70">
        <f>AJ49/E49</f>
        <v>0.14285714285714285</v>
      </c>
    </row>
    <row r="50" spans="1:37">
      <c r="A50" s="244"/>
      <c r="B50" s="247"/>
      <c r="C50" s="195"/>
      <c r="D50" s="10" t="s">
        <v>22</v>
      </c>
      <c r="E50" s="231">
        <f>F49/E49</f>
        <v>1</v>
      </c>
      <c r="F50" s="251"/>
      <c r="G50" s="231">
        <f t="shared" ref="G50" si="127">H49/G49</f>
        <v>1</v>
      </c>
      <c r="H50" s="251"/>
      <c r="I50" s="231">
        <f t="shared" ref="I50" si="128">J49/I49</f>
        <v>1</v>
      </c>
      <c r="J50" s="251"/>
      <c r="K50" s="231">
        <f t="shared" ref="K50" si="129">L49/K49</f>
        <v>1</v>
      </c>
      <c r="L50" s="251"/>
      <c r="M50" s="231">
        <f>N49/M49</f>
        <v>1</v>
      </c>
      <c r="N50" s="232"/>
      <c r="O50" s="231">
        <f>P49/O49</f>
        <v>1</v>
      </c>
      <c r="P50" s="232"/>
      <c r="Q50" s="231">
        <f>R49/Q49</f>
        <v>1</v>
      </c>
      <c r="R50" s="232"/>
      <c r="S50" s="231">
        <f>T49/S49</f>
        <v>1</v>
      </c>
      <c r="T50" s="232"/>
      <c r="U50" s="231">
        <f>V49/U49</f>
        <v>1</v>
      </c>
      <c r="V50" s="232"/>
      <c r="W50" s="231">
        <f>X49/W49</f>
        <v>0.7142857142857143</v>
      </c>
      <c r="X50" s="232"/>
      <c r="Y50" s="231">
        <f>Z49/Y49</f>
        <v>0.8</v>
      </c>
      <c r="Z50" s="232"/>
      <c r="AA50" s="231">
        <f>AB49/AA49</f>
        <v>0.875</v>
      </c>
      <c r="AB50" s="232"/>
      <c r="AC50" s="231">
        <f>AD49/AC49</f>
        <v>0.42857142857142855</v>
      </c>
      <c r="AD50" s="232"/>
      <c r="AE50" s="231">
        <f>AF49/AE49</f>
        <v>1</v>
      </c>
      <c r="AF50" s="232"/>
      <c r="AG50" s="231">
        <f>AH49/AG49</f>
        <v>0.66666666666666663</v>
      </c>
      <c r="AH50" s="232"/>
      <c r="AI50" s="231">
        <f>AJ49/AI49</f>
        <v>1</v>
      </c>
      <c r="AJ50" s="232"/>
      <c r="AK50" s="71"/>
    </row>
    <row r="51" spans="1:37">
      <c r="A51" s="242">
        <v>120050120</v>
      </c>
      <c r="B51" s="245">
        <v>20</v>
      </c>
      <c r="C51" s="221" t="s">
        <v>39</v>
      </c>
      <c r="D51" s="8" t="s">
        <v>40</v>
      </c>
      <c r="E51" s="233">
        <v>46084</v>
      </c>
      <c r="F51" s="248"/>
      <c r="G51" s="249">
        <f>WORKDAY.INTL(E51,0,11)</f>
        <v>46084</v>
      </c>
      <c r="H51" s="250"/>
      <c r="I51" s="249">
        <f>WORKDAY.INTL(G51,0,11)</f>
        <v>46084</v>
      </c>
      <c r="J51" s="250"/>
      <c r="K51" s="249">
        <f>WORKDAY.INTL(I51,0,11)</f>
        <v>46084</v>
      </c>
      <c r="L51" s="250"/>
      <c r="M51" s="233">
        <f>WORKDAY.INTL(E51,0,11)</f>
        <v>46084</v>
      </c>
      <c r="N51" s="234"/>
      <c r="O51" s="233">
        <f t="shared" ref="O51" si="130">WORKDAY.INTL(M51,0,11)</f>
        <v>46084</v>
      </c>
      <c r="P51" s="234"/>
      <c r="Q51" s="233">
        <f t="shared" ref="Q51" si="131">WORKDAY.INTL(O51,0,11)</f>
        <v>46084</v>
      </c>
      <c r="R51" s="234"/>
      <c r="S51" s="233">
        <f t="shared" ref="S51" si="132">WORKDAY.INTL(Q51,0,11)</f>
        <v>46084</v>
      </c>
      <c r="T51" s="234"/>
      <c r="U51" s="233">
        <f t="shared" ref="U51" si="133">WORKDAY.INTL(S51,0,11)</f>
        <v>46084</v>
      </c>
      <c r="V51" s="234"/>
      <c r="W51" s="233">
        <f>WORKDAY.INTL(U51,2,11)</f>
        <v>46086</v>
      </c>
      <c r="X51" s="234"/>
      <c r="Y51" s="233">
        <f t="shared" ref="Y51" si="134">WORKDAY.INTL(W51,0,11)</f>
        <v>46086</v>
      </c>
      <c r="Z51" s="234"/>
      <c r="AA51" s="233">
        <f>WORKDAY.INTL(Y51,1,11)</f>
        <v>46087</v>
      </c>
      <c r="AB51" s="234"/>
      <c r="AC51" s="233">
        <f t="shared" ref="AC51" si="135">WORKDAY.INTL(AA51,0,11)</f>
        <v>46087</v>
      </c>
      <c r="AD51" s="234"/>
      <c r="AE51" s="233">
        <f>WORKDAY.INTL(AC51,0,11)</f>
        <v>46087</v>
      </c>
      <c r="AF51" s="234"/>
      <c r="AG51" s="233">
        <f t="shared" ref="AG51" si="136">WORKDAY.INTL(AE51,0,11)</f>
        <v>46087</v>
      </c>
      <c r="AH51" s="234"/>
      <c r="AI51" s="233">
        <f t="shared" ref="AI51" si="137">WORKDAY.INTL(AG51,0,11)</f>
        <v>46087</v>
      </c>
      <c r="AJ51" s="234"/>
      <c r="AK51" s="70"/>
    </row>
    <row r="52" spans="1:37">
      <c r="A52" s="243"/>
      <c r="B52" s="246"/>
      <c r="C52" s="194"/>
      <c r="D52" s="9" t="s">
        <v>41</v>
      </c>
      <c r="E52" s="235">
        <v>46084</v>
      </c>
      <c r="F52" s="236"/>
      <c r="G52" s="235">
        <v>46084</v>
      </c>
      <c r="H52" s="237"/>
      <c r="I52" s="235">
        <v>46084</v>
      </c>
      <c r="J52" s="237"/>
      <c r="K52" s="235">
        <v>46084</v>
      </c>
      <c r="L52" s="237"/>
      <c r="M52" s="235">
        <v>46084</v>
      </c>
      <c r="N52" s="237"/>
      <c r="O52" s="235">
        <v>46084</v>
      </c>
      <c r="P52" s="237"/>
      <c r="Q52" s="235">
        <v>46084</v>
      </c>
      <c r="R52" s="237"/>
      <c r="S52" s="235">
        <v>46084</v>
      </c>
      <c r="T52" s="237"/>
      <c r="U52" s="235">
        <v>46085</v>
      </c>
      <c r="V52" s="237"/>
      <c r="W52" s="235">
        <v>46086</v>
      </c>
      <c r="X52" s="237"/>
      <c r="Y52" s="235">
        <v>46087</v>
      </c>
      <c r="Z52" s="237"/>
      <c r="AA52" s="235">
        <v>46091</v>
      </c>
      <c r="AB52" s="237"/>
      <c r="AC52" s="235">
        <v>46091</v>
      </c>
      <c r="AD52" s="237"/>
      <c r="AE52" s="235">
        <v>46092</v>
      </c>
      <c r="AF52" s="237"/>
      <c r="AG52" s="235">
        <v>46092</v>
      </c>
      <c r="AH52" s="237"/>
      <c r="AI52" s="235">
        <v>46092</v>
      </c>
      <c r="AJ52" s="237"/>
      <c r="AK52" s="70"/>
    </row>
    <row r="53" spans="1:37">
      <c r="A53" s="243"/>
      <c r="B53" s="246"/>
      <c r="C53" s="194"/>
      <c r="D53" s="9" t="s">
        <v>33</v>
      </c>
      <c r="E53" s="12">
        <v>20</v>
      </c>
      <c r="F53" s="122">
        <v>20</v>
      </c>
      <c r="G53" s="122">
        <v>20</v>
      </c>
      <c r="H53" s="122">
        <v>20</v>
      </c>
      <c r="I53" s="122">
        <v>20</v>
      </c>
      <c r="J53" s="122">
        <v>20</v>
      </c>
      <c r="K53" s="122">
        <v>20</v>
      </c>
      <c r="L53" s="122">
        <v>20</v>
      </c>
      <c r="M53" s="12">
        <v>20</v>
      </c>
      <c r="N53" s="12">
        <v>20</v>
      </c>
      <c r="O53" s="12">
        <v>20</v>
      </c>
      <c r="P53" s="12">
        <v>20</v>
      </c>
      <c r="Q53" s="12">
        <v>20</v>
      </c>
      <c r="R53" s="12">
        <v>20</v>
      </c>
      <c r="S53" s="12">
        <v>20</v>
      </c>
      <c r="T53" s="12">
        <v>20</v>
      </c>
      <c r="U53" s="12">
        <v>20</v>
      </c>
      <c r="V53" s="12">
        <v>20</v>
      </c>
      <c r="W53" s="12">
        <v>20</v>
      </c>
      <c r="X53" s="59">
        <v>14</v>
      </c>
      <c r="Y53" s="12">
        <v>14</v>
      </c>
      <c r="Z53" s="12">
        <v>14</v>
      </c>
      <c r="AA53" s="12">
        <v>14</v>
      </c>
      <c r="AB53" s="12">
        <v>13</v>
      </c>
      <c r="AC53" s="12">
        <v>13</v>
      </c>
      <c r="AD53" s="12">
        <v>9</v>
      </c>
      <c r="AE53" s="12">
        <v>9</v>
      </c>
      <c r="AF53" s="12">
        <v>8</v>
      </c>
      <c r="AG53" s="12">
        <v>8</v>
      </c>
      <c r="AH53" s="59">
        <v>6</v>
      </c>
      <c r="AI53" s="12">
        <v>6</v>
      </c>
      <c r="AJ53" s="12">
        <v>5</v>
      </c>
      <c r="AK53" s="70">
        <f>AJ53/E53</f>
        <v>0.25</v>
      </c>
    </row>
    <row r="54" spans="1:37">
      <c r="A54" s="244"/>
      <c r="B54" s="247"/>
      <c r="C54" s="195"/>
      <c r="D54" s="10" t="s">
        <v>22</v>
      </c>
      <c r="E54" s="231">
        <f>F53/E53</f>
        <v>1</v>
      </c>
      <c r="F54" s="251"/>
      <c r="G54" s="231">
        <f t="shared" ref="G54" si="138">H53/G53</f>
        <v>1</v>
      </c>
      <c r="H54" s="251"/>
      <c r="I54" s="231">
        <f t="shared" ref="I54" si="139">J53/I53</f>
        <v>1</v>
      </c>
      <c r="J54" s="251"/>
      <c r="K54" s="231">
        <f t="shared" ref="K54" si="140">L53/K53</f>
        <v>1</v>
      </c>
      <c r="L54" s="251"/>
      <c r="M54" s="231">
        <f>N53/M53</f>
        <v>1</v>
      </c>
      <c r="N54" s="232"/>
      <c r="O54" s="231">
        <f>P53/O53</f>
        <v>1</v>
      </c>
      <c r="P54" s="232"/>
      <c r="Q54" s="231">
        <f>R53/Q53</f>
        <v>1</v>
      </c>
      <c r="R54" s="232"/>
      <c r="S54" s="231">
        <f>T53/S53</f>
        <v>1</v>
      </c>
      <c r="T54" s="232"/>
      <c r="U54" s="231">
        <f>V53/U53</f>
        <v>1</v>
      </c>
      <c r="V54" s="232"/>
      <c r="W54" s="231">
        <f>X53/W53</f>
        <v>0.7</v>
      </c>
      <c r="X54" s="232"/>
      <c r="Y54" s="231">
        <f>Z53/Y53</f>
        <v>1</v>
      </c>
      <c r="Z54" s="232"/>
      <c r="AA54" s="231">
        <f>AB53/AA53</f>
        <v>0.9285714285714286</v>
      </c>
      <c r="AB54" s="232"/>
      <c r="AC54" s="231">
        <f>AD53/AC53</f>
        <v>0.69230769230769229</v>
      </c>
      <c r="AD54" s="232"/>
      <c r="AE54" s="231">
        <f>AF53/AE53</f>
        <v>0.88888888888888884</v>
      </c>
      <c r="AF54" s="232"/>
      <c r="AG54" s="231">
        <f>AH53/AG53</f>
        <v>0.75</v>
      </c>
      <c r="AH54" s="232"/>
      <c r="AI54" s="231">
        <f>AJ53/AI53</f>
        <v>0.83333333333333337</v>
      </c>
      <c r="AJ54" s="232"/>
      <c r="AK54" s="71"/>
    </row>
    <row r="55" spans="1:37">
      <c r="A55" s="242">
        <v>120050202</v>
      </c>
      <c r="B55" s="245">
        <v>10</v>
      </c>
      <c r="C55" s="221" t="s">
        <v>39</v>
      </c>
      <c r="D55" s="8" t="s">
        <v>40</v>
      </c>
      <c r="E55" s="233">
        <v>46086</v>
      </c>
      <c r="F55" s="248"/>
      <c r="G55" s="249">
        <f>WORKDAY.INTL(E55,0,11)</f>
        <v>46086</v>
      </c>
      <c r="H55" s="250"/>
      <c r="I55" s="249">
        <f>WORKDAY.INTL(G55,0,11)</f>
        <v>46086</v>
      </c>
      <c r="J55" s="250"/>
      <c r="K55" s="249">
        <f>WORKDAY.INTL(I55,0,11)</f>
        <v>46086</v>
      </c>
      <c r="L55" s="250"/>
      <c r="M55" s="233">
        <f>WORKDAY.INTL(E55,0,11)</f>
        <v>46086</v>
      </c>
      <c r="N55" s="234"/>
      <c r="O55" s="233">
        <f t="shared" ref="O55" si="141">WORKDAY.INTL(M55,0,11)</f>
        <v>46086</v>
      </c>
      <c r="P55" s="234"/>
      <c r="Q55" s="233">
        <f t="shared" ref="Q55" si="142">WORKDAY.INTL(O55,0,11)</f>
        <v>46086</v>
      </c>
      <c r="R55" s="234"/>
      <c r="S55" s="233">
        <f t="shared" ref="S55" si="143">WORKDAY.INTL(Q55,0,11)</f>
        <v>46086</v>
      </c>
      <c r="T55" s="234"/>
      <c r="U55" s="233">
        <f t="shared" ref="U55" si="144">WORKDAY.INTL(S55,0,11)</f>
        <v>46086</v>
      </c>
      <c r="V55" s="234"/>
      <c r="W55" s="233">
        <f>WORKDAY.INTL(U55,2,11)</f>
        <v>46088</v>
      </c>
      <c r="X55" s="234"/>
      <c r="Y55" s="233">
        <f t="shared" ref="Y55" si="145">WORKDAY.INTL(W55,0,11)</f>
        <v>46088</v>
      </c>
      <c r="Z55" s="234"/>
      <c r="AA55" s="233">
        <f>WORKDAY.INTL(Y55,1,11)</f>
        <v>46090</v>
      </c>
      <c r="AB55" s="234"/>
      <c r="AC55" s="233">
        <f t="shared" ref="AC55" si="146">WORKDAY.INTL(AA55,0,11)</f>
        <v>46090</v>
      </c>
      <c r="AD55" s="234"/>
      <c r="AE55" s="233">
        <f>WORKDAY.INTL(AC55,0,11)</f>
        <v>46090</v>
      </c>
      <c r="AF55" s="234"/>
      <c r="AG55" s="233">
        <f t="shared" ref="AG55" si="147">WORKDAY.INTL(AE55,0,11)</f>
        <v>46090</v>
      </c>
      <c r="AH55" s="234"/>
      <c r="AI55" s="233">
        <f t="shared" ref="AI55" si="148">WORKDAY.INTL(AG55,0,11)</f>
        <v>46090</v>
      </c>
      <c r="AJ55" s="234"/>
      <c r="AK55" s="70"/>
    </row>
    <row r="56" spans="1:37">
      <c r="A56" s="243"/>
      <c r="B56" s="246"/>
      <c r="C56" s="194"/>
      <c r="D56" s="9" t="s">
        <v>41</v>
      </c>
      <c r="E56" s="235">
        <v>46086</v>
      </c>
      <c r="F56" s="236"/>
      <c r="G56" s="235">
        <v>46086</v>
      </c>
      <c r="H56" s="237"/>
      <c r="I56" s="235">
        <v>46086</v>
      </c>
      <c r="J56" s="237"/>
      <c r="K56" s="235">
        <v>46086</v>
      </c>
      <c r="L56" s="237"/>
      <c r="M56" s="235">
        <v>46086</v>
      </c>
      <c r="N56" s="237"/>
      <c r="O56" s="235">
        <v>46086</v>
      </c>
      <c r="P56" s="237"/>
      <c r="Q56" s="235">
        <v>46086</v>
      </c>
      <c r="R56" s="237"/>
      <c r="S56" s="235">
        <v>46086</v>
      </c>
      <c r="T56" s="237"/>
      <c r="U56" s="235">
        <v>46086</v>
      </c>
      <c r="V56" s="237"/>
      <c r="W56" s="235">
        <v>46087</v>
      </c>
      <c r="X56" s="237"/>
      <c r="Y56" s="235">
        <v>46090</v>
      </c>
      <c r="Z56" s="237"/>
      <c r="AA56" s="235">
        <v>46090</v>
      </c>
      <c r="AB56" s="237"/>
      <c r="AC56" s="235">
        <v>46091</v>
      </c>
      <c r="AD56" s="237"/>
      <c r="AE56" s="235">
        <v>46091</v>
      </c>
      <c r="AF56" s="237"/>
      <c r="AG56" s="235">
        <v>46092</v>
      </c>
      <c r="AH56" s="237"/>
      <c r="AI56" s="235">
        <v>46092</v>
      </c>
      <c r="AJ56" s="237"/>
      <c r="AK56" s="70"/>
    </row>
    <row r="57" spans="1:37">
      <c r="A57" s="243"/>
      <c r="B57" s="246"/>
      <c r="C57" s="194"/>
      <c r="D57" s="9" t="s">
        <v>33</v>
      </c>
      <c r="E57" s="12">
        <v>10</v>
      </c>
      <c r="F57" s="122">
        <v>10</v>
      </c>
      <c r="G57" s="122">
        <v>10</v>
      </c>
      <c r="H57" s="122">
        <v>10</v>
      </c>
      <c r="I57" s="122">
        <v>10</v>
      </c>
      <c r="J57" s="122">
        <v>10</v>
      </c>
      <c r="K57" s="122">
        <v>10</v>
      </c>
      <c r="L57" s="122">
        <v>10</v>
      </c>
      <c r="M57" s="12">
        <v>10</v>
      </c>
      <c r="N57" s="12">
        <v>10</v>
      </c>
      <c r="O57" s="12">
        <v>10</v>
      </c>
      <c r="P57" s="12">
        <v>10</v>
      </c>
      <c r="Q57" s="12">
        <v>10</v>
      </c>
      <c r="R57" s="12">
        <v>10</v>
      </c>
      <c r="S57" s="12">
        <v>10</v>
      </c>
      <c r="T57" s="12">
        <v>10</v>
      </c>
      <c r="U57" s="12">
        <v>10</v>
      </c>
      <c r="V57" s="12">
        <v>10</v>
      </c>
      <c r="W57" s="12">
        <v>10</v>
      </c>
      <c r="X57" s="59">
        <v>7</v>
      </c>
      <c r="Y57" s="12">
        <v>7</v>
      </c>
      <c r="Z57" s="12">
        <v>7</v>
      </c>
      <c r="AA57" s="12">
        <v>7</v>
      </c>
      <c r="AB57" s="12">
        <v>7</v>
      </c>
      <c r="AC57" s="12">
        <v>7</v>
      </c>
      <c r="AD57" s="12">
        <v>6</v>
      </c>
      <c r="AE57" s="12">
        <v>6</v>
      </c>
      <c r="AF57" s="12">
        <v>6</v>
      </c>
      <c r="AG57" s="12">
        <v>6</v>
      </c>
      <c r="AH57" s="59">
        <v>6</v>
      </c>
      <c r="AI57" s="12">
        <v>6</v>
      </c>
      <c r="AJ57" s="12">
        <v>6</v>
      </c>
      <c r="AK57" s="70">
        <f>AJ57/E57</f>
        <v>0.6</v>
      </c>
    </row>
    <row r="58" spans="1:37">
      <c r="A58" s="244"/>
      <c r="B58" s="247"/>
      <c r="C58" s="195"/>
      <c r="D58" s="10" t="s">
        <v>22</v>
      </c>
      <c r="E58" s="231">
        <f>F57/E57</f>
        <v>1</v>
      </c>
      <c r="F58" s="251"/>
      <c r="G58" s="231">
        <f t="shared" ref="G58" si="149">H57/G57</f>
        <v>1</v>
      </c>
      <c r="H58" s="251"/>
      <c r="I58" s="231">
        <f t="shared" ref="I58" si="150">J57/I57</f>
        <v>1</v>
      </c>
      <c r="J58" s="251"/>
      <c r="K58" s="231">
        <f t="shared" ref="K58" si="151">L57/K57</f>
        <v>1</v>
      </c>
      <c r="L58" s="251"/>
      <c r="M58" s="231">
        <f>N57/M57</f>
        <v>1</v>
      </c>
      <c r="N58" s="232"/>
      <c r="O58" s="231">
        <f>P57/O57</f>
        <v>1</v>
      </c>
      <c r="P58" s="232"/>
      <c r="Q58" s="231">
        <f>R57/Q57</f>
        <v>1</v>
      </c>
      <c r="R58" s="232"/>
      <c r="S58" s="231">
        <f>T57/S57</f>
        <v>1</v>
      </c>
      <c r="T58" s="232"/>
      <c r="U58" s="231">
        <f>V57/U57</f>
        <v>1</v>
      </c>
      <c r="V58" s="232"/>
      <c r="W58" s="231">
        <f>X57/W57</f>
        <v>0.7</v>
      </c>
      <c r="X58" s="232"/>
      <c r="Y58" s="231">
        <f>Z57/Y57</f>
        <v>1</v>
      </c>
      <c r="Z58" s="232"/>
      <c r="AA58" s="231">
        <f>AB57/AA57</f>
        <v>1</v>
      </c>
      <c r="AB58" s="232"/>
      <c r="AC58" s="231">
        <f>AD57/AC57</f>
        <v>0.8571428571428571</v>
      </c>
      <c r="AD58" s="232"/>
      <c r="AE58" s="231">
        <f>AF57/AE57</f>
        <v>1</v>
      </c>
      <c r="AF58" s="232"/>
      <c r="AG58" s="231">
        <f>AH57/AG57</f>
        <v>1</v>
      </c>
      <c r="AH58" s="232"/>
      <c r="AI58" s="231">
        <f>AJ57/AI57</f>
        <v>1</v>
      </c>
      <c r="AJ58" s="232"/>
      <c r="AK58" s="71"/>
    </row>
    <row r="59" spans="1:37">
      <c r="A59" s="242">
        <v>120050204</v>
      </c>
      <c r="B59" s="245">
        <v>10</v>
      </c>
      <c r="C59" s="221" t="s">
        <v>39</v>
      </c>
      <c r="D59" s="8" t="s">
        <v>40</v>
      </c>
      <c r="E59" s="233">
        <v>46087</v>
      </c>
      <c r="F59" s="248"/>
      <c r="G59" s="249">
        <f>WORKDAY.INTL(E59,0,11)</f>
        <v>46087</v>
      </c>
      <c r="H59" s="250"/>
      <c r="I59" s="249">
        <f>WORKDAY.INTL(G59,0,11)</f>
        <v>46087</v>
      </c>
      <c r="J59" s="250"/>
      <c r="K59" s="249">
        <f>WORKDAY.INTL(I59,0,11)</f>
        <v>46087</v>
      </c>
      <c r="L59" s="250"/>
      <c r="M59" s="233">
        <f>WORKDAY.INTL(E59,0,11)</f>
        <v>46087</v>
      </c>
      <c r="N59" s="234"/>
      <c r="O59" s="233">
        <f t="shared" ref="O59" si="152">WORKDAY.INTL(M59,0,11)</f>
        <v>46087</v>
      </c>
      <c r="P59" s="234"/>
      <c r="Q59" s="233">
        <f t="shared" ref="Q59" si="153">WORKDAY.INTL(O59,0,11)</f>
        <v>46087</v>
      </c>
      <c r="R59" s="234"/>
      <c r="S59" s="233">
        <f t="shared" ref="S59" si="154">WORKDAY.INTL(Q59,0,11)</f>
        <v>46087</v>
      </c>
      <c r="T59" s="234"/>
      <c r="U59" s="233">
        <f t="shared" ref="U59" si="155">WORKDAY.INTL(S59,0,11)</f>
        <v>46087</v>
      </c>
      <c r="V59" s="234"/>
      <c r="W59" s="233">
        <f>WORKDAY.INTL(U59,2,11)</f>
        <v>46090</v>
      </c>
      <c r="X59" s="234"/>
      <c r="Y59" s="233">
        <f t="shared" ref="Y59" si="156">WORKDAY.INTL(W59,0,11)</f>
        <v>46090</v>
      </c>
      <c r="Z59" s="234"/>
      <c r="AA59" s="233">
        <f>WORKDAY.INTL(Y59,1,11)</f>
        <v>46091</v>
      </c>
      <c r="AB59" s="234"/>
      <c r="AC59" s="233">
        <f t="shared" ref="AC59" si="157">WORKDAY.INTL(AA59,0,11)</f>
        <v>46091</v>
      </c>
      <c r="AD59" s="234"/>
      <c r="AE59" s="233">
        <f>WORKDAY.INTL(AC59,0,11)</f>
        <v>46091</v>
      </c>
      <c r="AF59" s="234"/>
      <c r="AG59" s="233">
        <f t="shared" ref="AG59" si="158">WORKDAY.INTL(AE59,0,11)</f>
        <v>46091</v>
      </c>
      <c r="AH59" s="234"/>
      <c r="AI59" s="233">
        <f t="shared" ref="AI59" si="159">WORKDAY.INTL(AG59,0,11)</f>
        <v>46091</v>
      </c>
      <c r="AJ59" s="234"/>
      <c r="AK59" s="70"/>
    </row>
    <row r="60" spans="1:37">
      <c r="A60" s="243"/>
      <c r="B60" s="246"/>
      <c r="C60" s="194"/>
      <c r="D60" s="9" t="s">
        <v>41</v>
      </c>
      <c r="E60" s="235">
        <v>46087</v>
      </c>
      <c r="F60" s="236"/>
      <c r="G60" s="235">
        <v>46087</v>
      </c>
      <c r="H60" s="237"/>
      <c r="I60" s="235">
        <v>46087</v>
      </c>
      <c r="J60" s="237"/>
      <c r="K60" s="235">
        <v>46087</v>
      </c>
      <c r="L60" s="237"/>
      <c r="M60" s="235">
        <v>46087</v>
      </c>
      <c r="N60" s="237"/>
      <c r="O60" s="235">
        <v>46087</v>
      </c>
      <c r="P60" s="237"/>
      <c r="Q60" s="235">
        <v>46087</v>
      </c>
      <c r="R60" s="237"/>
      <c r="S60" s="235">
        <v>46087</v>
      </c>
      <c r="T60" s="237"/>
      <c r="U60" s="235">
        <v>46087</v>
      </c>
      <c r="V60" s="237"/>
      <c r="W60" s="235">
        <v>46090</v>
      </c>
      <c r="X60" s="237"/>
      <c r="Y60" s="235">
        <v>46090</v>
      </c>
      <c r="Z60" s="237"/>
      <c r="AA60" s="235">
        <v>46091</v>
      </c>
      <c r="AB60" s="237"/>
      <c r="AC60" s="235">
        <v>46091</v>
      </c>
      <c r="AD60" s="237"/>
      <c r="AE60" s="235">
        <v>46091</v>
      </c>
      <c r="AF60" s="237"/>
      <c r="AG60" s="235">
        <v>46092</v>
      </c>
      <c r="AH60" s="237"/>
      <c r="AI60" s="235">
        <v>46092</v>
      </c>
      <c r="AJ60" s="237"/>
      <c r="AK60" s="70"/>
    </row>
    <row r="61" spans="1:37">
      <c r="A61" s="243"/>
      <c r="B61" s="246"/>
      <c r="C61" s="194"/>
      <c r="D61" s="9" t="s">
        <v>33</v>
      </c>
      <c r="E61" s="12">
        <v>10</v>
      </c>
      <c r="F61" s="122">
        <v>10</v>
      </c>
      <c r="G61" s="122">
        <v>10</v>
      </c>
      <c r="H61" s="122">
        <v>10</v>
      </c>
      <c r="I61" s="122">
        <v>10</v>
      </c>
      <c r="J61" s="122">
        <v>7</v>
      </c>
      <c r="K61" s="122">
        <v>7</v>
      </c>
      <c r="L61" s="122">
        <v>7</v>
      </c>
      <c r="M61" s="12">
        <v>7</v>
      </c>
      <c r="N61" s="12">
        <v>7</v>
      </c>
      <c r="O61" s="12">
        <v>7</v>
      </c>
      <c r="P61" s="12">
        <v>7</v>
      </c>
      <c r="Q61" s="12">
        <v>7</v>
      </c>
      <c r="R61" s="12">
        <v>7</v>
      </c>
      <c r="S61" s="12">
        <v>7</v>
      </c>
      <c r="T61" s="12">
        <v>7</v>
      </c>
      <c r="U61" s="12">
        <v>7</v>
      </c>
      <c r="V61" s="12">
        <v>7</v>
      </c>
      <c r="W61" s="12">
        <v>7</v>
      </c>
      <c r="X61" s="12">
        <v>7</v>
      </c>
      <c r="Y61" s="12">
        <v>7</v>
      </c>
      <c r="Z61" s="12">
        <v>6</v>
      </c>
      <c r="AA61" s="12">
        <v>6</v>
      </c>
      <c r="AB61" s="12">
        <v>6</v>
      </c>
      <c r="AC61" s="12">
        <v>6</v>
      </c>
      <c r="AD61" s="12">
        <v>5</v>
      </c>
      <c r="AE61" s="12">
        <v>5</v>
      </c>
      <c r="AF61" s="12">
        <v>5</v>
      </c>
      <c r="AG61" s="12">
        <v>5</v>
      </c>
      <c r="AH61" s="12">
        <v>5</v>
      </c>
      <c r="AI61" s="12">
        <v>5</v>
      </c>
      <c r="AJ61" s="12">
        <v>3</v>
      </c>
      <c r="AK61" s="70">
        <f>AJ61/E61</f>
        <v>0.3</v>
      </c>
    </row>
    <row r="62" spans="1:37">
      <c r="A62" s="244"/>
      <c r="B62" s="247"/>
      <c r="C62" s="195"/>
      <c r="D62" s="10" t="s">
        <v>22</v>
      </c>
      <c r="E62" s="231">
        <f>F61/E61</f>
        <v>1</v>
      </c>
      <c r="F62" s="251"/>
      <c r="G62" s="231">
        <f t="shared" ref="G62" si="160">H61/G61</f>
        <v>1</v>
      </c>
      <c r="H62" s="251"/>
      <c r="I62" s="231">
        <f t="shared" ref="I62" si="161">J61/I61</f>
        <v>0.7</v>
      </c>
      <c r="J62" s="251"/>
      <c r="K62" s="231">
        <f t="shared" ref="K62" si="162">L61/K61</f>
        <v>1</v>
      </c>
      <c r="L62" s="251"/>
      <c r="M62" s="231">
        <f>N61/M61</f>
        <v>1</v>
      </c>
      <c r="N62" s="232"/>
      <c r="O62" s="231">
        <f>P61/O61</f>
        <v>1</v>
      </c>
      <c r="P62" s="232"/>
      <c r="Q62" s="231">
        <f>R61/Q61</f>
        <v>1</v>
      </c>
      <c r="R62" s="232"/>
      <c r="S62" s="231">
        <f>T61/S61</f>
        <v>1</v>
      </c>
      <c r="T62" s="232"/>
      <c r="U62" s="231">
        <f>V61/U61</f>
        <v>1</v>
      </c>
      <c r="V62" s="232"/>
      <c r="W62" s="231">
        <f>X61/W61</f>
        <v>1</v>
      </c>
      <c r="X62" s="232"/>
      <c r="Y62" s="231">
        <f>Z61/Y61</f>
        <v>0.8571428571428571</v>
      </c>
      <c r="Z62" s="232"/>
      <c r="AA62" s="231">
        <f>AB61/AA61</f>
        <v>1</v>
      </c>
      <c r="AB62" s="232"/>
      <c r="AC62" s="231">
        <f>AD61/AC61</f>
        <v>0.83333333333333337</v>
      </c>
      <c r="AD62" s="232"/>
      <c r="AE62" s="231">
        <f>AF61/AE61</f>
        <v>1</v>
      </c>
      <c r="AF62" s="232"/>
      <c r="AG62" s="231">
        <f>AH61/AG61</f>
        <v>1</v>
      </c>
      <c r="AH62" s="232"/>
      <c r="AI62" s="231">
        <f>AJ61/AI61</f>
        <v>0.6</v>
      </c>
      <c r="AJ62" s="232"/>
      <c r="AK62" s="71"/>
    </row>
    <row r="63" spans="1:37">
      <c r="A63" s="242">
        <v>120050206</v>
      </c>
      <c r="B63" s="245">
        <v>10</v>
      </c>
      <c r="C63" s="221" t="s">
        <v>39</v>
      </c>
      <c r="D63" s="8" t="s">
        <v>40</v>
      </c>
      <c r="E63" s="233">
        <v>46090</v>
      </c>
      <c r="F63" s="248"/>
      <c r="G63" s="249">
        <f>WORKDAY.INTL(E63,0,11)</f>
        <v>46090</v>
      </c>
      <c r="H63" s="250"/>
      <c r="I63" s="249">
        <f>WORKDAY.INTL(G63,0,11)</f>
        <v>46090</v>
      </c>
      <c r="J63" s="250"/>
      <c r="K63" s="249">
        <f>WORKDAY.INTL(I63,0,11)</f>
        <v>46090</v>
      </c>
      <c r="L63" s="250"/>
      <c r="M63" s="233">
        <f>WORKDAY.INTL(E63,0,11)</f>
        <v>46090</v>
      </c>
      <c r="N63" s="234"/>
      <c r="O63" s="233">
        <f>WORKDAY.INTL(M63,0,11)</f>
        <v>46090</v>
      </c>
      <c r="P63" s="234"/>
      <c r="Q63" s="233">
        <f>WORKDAY.INTL(O63,0,11)</f>
        <v>46090</v>
      </c>
      <c r="R63" s="234"/>
      <c r="S63" s="233">
        <f>WORKDAY.INTL(Q63,0,11)</f>
        <v>46090</v>
      </c>
      <c r="T63" s="234"/>
      <c r="U63" s="233">
        <f>WORKDAY.INTL(S63,0,11)</f>
        <v>46090</v>
      </c>
      <c r="V63" s="234"/>
      <c r="W63" s="233">
        <f>WORKDAY.INTL(U63,2,11)</f>
        <v>46092</v>
      </c>
      <c r="X63" s="234"/>
      <c r="Y63" s="233">
        <f>WORKDAY.INTL(W63,0,11)</f>
        <v>46092</v>
      </c>
      <c r="Z63" s="234"/>
      <c r="AA63" s="233">
        <f>WORKDAY.INTL(Y63,1,11)</f>
        <v>46093</v>
      </c>
      <c r="AB63" s="234"/>
      <c r="AC63" s="233">
        <f>WORKDAY.INTL(AA63,0,11)</f>
        <v>46093</v>
      </c>
      <c r="AD63" s="234"/>
      <c r="AE63" s="233">
        <f>WORKDAY.INTL(AC63,0,11)</f>
        <v>46093</v>
      </c>
      <c r="AF63" s="234"/>
      <c r="AG63" s="233">
        <f>WORKDAY.INTL(AE63,0,11)</f>
        <v>46093</v>
      </c>
      <c r="AH63" s="234"/>
      <c r="AI63" s="233">
        <f>WORKDAY.INTL(AG63,0,11)</f>
        <v>46093</v>
      </c>
      <c r="AJ63" s="234"/>
      <c r="AK63" s="70"/>
    </row>
    <row r="64" spans="1:37">
      <c r="A64" s="243"/>
      <c r="B64" s="246"/>
      <c r="C64" s="194"/>
      <c r="D64" s="9" t="s">
        <v>41</v>
      </c>
      <c r="E64" s="235">
        <v>46090</v>
      </c>
      <c r="F64" s="236"/>
      <c r="G64" s="235">
        <v>46090</v>
      </c>
      <c r="H64" s="237"/>
      <c r="I64" s="235">
        <v>46090</v>
      </c>
      <c r="J64" s="237"/>
      <c r="K64" s="235">
        <v>46090</v>
      </c>
      <c r="L64" s="237"/>
      <c r="M64" s="235">
        <v>46090</v>
      </c>
      <c r="N64" s="237"/>
      <c r="O64" s="235">
        <v>46090</v>
      </c>
      <c r="P64" s="237"/>
      <c r="Q64" s="235">
        <v>46090</v>
      </c>
      <c r="R64" s="237"/>
      <c r="S64" s="235">
        <v>46090</v>
      </c>
      <c r="T64" s="237"/>
      <c r="U64" s="235">
        <v>46091</v>
      </c>
      <c r="V64" s="237"/>
      <c r="W64" s="235">
        <v>46093</v>
      </c>
      <c r="X64" s="237"/>
      <c r="Y64" s="235">
        <v>46093</v>
      </c>
      <c r="Z64" s="237"/>
      <c r="AA64" s="235">
        <v>46093</v>
      </c>
      <c r="AB64" s="237"/>
      <c r="AC64" s="235">
        <v>46093</v>
      </c>
      <c r="AD64" s="237"/>
      <c r="AE64" s="235">
        <v>46098</v>
      </c>
      <c r="AF64" s="237"/>
      <c r="AG64" s="235">
        <v>46098</v>
      </c>
      <c r="AH64" s="237"/>
      <c r="AI64" s="235">
        <v>46098</v>
      </c>
      <c r="AJ64" s="237"/>
      <c r="AK64" s="70"/>
    </row>
    <row r="65" spans="1:37">
      <c r="A65" s="243"/>
      <c r="B65" s="246"/>
      <c r="C65" s="194"/>
      <c r="D65" s="9" t="s">
        <v>33</v>
      </c>
      <c r="E65" s="12">
        <v>10</v>
      </c>
      <c r="F65" s="122">
        <v>10</v>
      </c>
      <c r="G65" s="122">
        <v>10</v>
      </c>
      <c r="H65" s="122">
        <v>10</v>
      </c>
      <c r="I65" s="122">
        <v>10</v>
      </c>
      <c r="J65" s="122">
        <v>10</v>
      </c>
      <c r="K65" s="122">
        <v>10</v>
      </c>
      <c r="L65" s="122">
        <v>10</v>
      </c>
      <c r="M65" s="12">
        <v>10</v>
      </c>
      <c r="N65" s="12">
        <v>10</v>
      </c>
      <c r="O65" s="12">
        <v>10</v>
      </c>
      <c r="P65" s="12">
        <v>10</v>
      </c>
      <c r="Q65" s="12">
        <v>10</v>
      </c>
      <c r="R65" s="12">
        <v>10</v>
      </c>
      <c r="S65" s="12">
        <v>10</v>
      </c>
      <c r="T65" s="12">
        <v>10</v>
      </c>
      <c r="U65" s="12">
        <v>10</v>
      </c>
      <c r="V65" s="12">
        <v>10</v>
      </c>
      <c r="W65" s="12">
        <v>10</v>
      </c>
      <c r="X65" s="12">
        <v>8</v>
      </c>
      <c r="Y65" s="12">
        <v>8</v>
      </c>
      <c r="Z65" s="12">
        <v>8</v>
      </c>
      <c r="AA65" s="12">
        <v>8</v>
      </c>
      <c r="AB65" s="12">
        <v>7</v>
      </c>
      <c r="AC65" s="12">
        <v>7</v>
      </c>
      <c r="AD65" s="12">
        <v>6</v>
      </c>
      <c r="AE65" s="12">
        <v>6</v>
      </c>
      <c r="AF65" s="12">
        <v>6</v>
      </c>
      <c r="AG65" s="12">
        <v>6</v>
      </c>
      <c r="AH65" s="12">
        <v>4</v>
      </c>
      <c r="AI65" s="12">
        <v>4</v>
      </c>
      <c r="AJ65" s="3"/>
      <c r="AK65" s="70">
        <f>AJ65/E65</f>
        <v>0</v>
      </c>
    </row>
    <row r="66" spans="1:37">
      <c r="A66" s="244"/>
      <c r="B66" s="247"/>
      <c r="C66" s="195"/>
      <c r="D66" s="10" t="s">
        <v>22</v>
      </c>
      <c r="E66" s="231">
        <f>F65/E65</f>
        <v>1</v>
      </c>
      <c r="F66" s="251"/>
      <c r="G66" s="231">
        <f>H65/G65</f>
        <v>1</v>
      </c>
      <c r="H66" s="251"/>
      <c r="I66" s="231">
        <f>J65/I65</f>
        <v>1</v>
      </c>
      <c r="J66" s="251"/>
      <c r="K66" s="231">
        <f>L65/K65</f>
        <v>1</v>
      </c>
      <c r="L66" s="251"/>
      <c r="M66" s="231">
        <f>N65/M65</f>
        <v>1</v>
      </c>
      <c r="N66" s="232"/>
      <c r="O66" s="231">
        <f>P65/O65</f>
        <v>1</v>
      </c>
      <c r="P66" s="232"/>
      <c r="Q66" s="231">
        <f>R65/Q65</f>
        <v>1</v>
      </c>
      <c r="R66" s="232"/>
      <c r="S66" s="231">
        <f>T65/S65</f>
        <v>1</v>
      </c>
      <c r="T66" s="232"/>
      <c r="U66" s="231">
        <f>V65/U65</f>
        <v>1</v>
      </c>
      <c r="V66" s="232"/>
      <c r="W66" s="231">
        <f>X65/W65</f>
        <v>0.8</v>
      </c>
      <c r="X66" s="232"/>
      <c r="Y66" s="231">
        <f>Z65/Y65</f>
        <v>1</v>
      </c>
      <c r="Z66" s="232"/>
      <c r="AA66" s="231">
        <f>AB65/AA65</f>
        <v>0.875</v>
      </c>
      <c r="AB66" s="232"/>
      <c r="AC66" s="231">
        <f>AD65/AC65</f>
        <v>0.8571428571428571</v>
      </c>
      <c r="AD66" s="232"/>
      <c r="AE66" s="231">
        <f>AF65/AE65</f>
        <v>1</v>
      </c>
      <c r="AF66" s="232"/>
      <c r="AG66" s="231">
        <f>AH65/AG65</f>
        <v>0.66666666666666663</v>
      </c>
      <c r="AH66" s="232"/>
      <c r="AI66" s="231">
        <f>AJ65/AI65</f>
        <v>0</v>
      </c>
      <c r="AJ66" s="232"/>
      <c r="AK66" s="71"/>
    </row>
    <row r="67" spans="1:37">
      <c r="A67" s="242">
        <v>120050336</v>
      </c>
      <c r="B67" s="245">
        <v>15</v>
      </c>
      <c r="C67" s="221" t="s">
        <v>39</v>
      </c>
      <c r="D67" s="8" t="s">
        <v>40</v>
      </c>
      <c r="E67" s="233">
        <v>46092</v>
      </c>
      <c r="F67" s="248"/>
      <c r="G67" s="249">
        <f>WORKDAY.INTL(E67,0,11)</f>
        <v>46092</v>
      </c>
      <c r="H67" s="250"/>
      <c r="I67" s="249">
        <f>WORKDAY.INTL(G67,0,11)</f>
        <v>46092</v>
      </c>
      <c r="J67" s="250"/>
      <c r="K67" s="249">
        <f>WORKDAY.INTL(I67,0,11)</f>
        <v>46092</v>
      </c>
      <c r="L67" s="250"/>
      <c r="M67" s="233">
        <f>WORKDAY.INTL(E67,0,11)</f>
        <v>46092</v>
      </c>
      <c r="N67" s="234"/>
      <c r="O67" s="233">
        <f>WORKDAY.INTL(M67,0,11)</f>
        <v>46092</v>
      </c>
      <c r="P67" s="234"/>
      <c r="Q67" s="233">
        <f>WORKDAY.INTL(O67,0,11)</f>
        <v>46092</v>
      </c>
      <c r="R67" s="234"/>
      <c r="S67" s="233">
        <f>WORKDAY.INTL(Q67,0,11)</f>
        <v>46092</v>
      </c>
      <c r="T67" s="234"/>
      <c r="U67" s="233">
        <f>WORKDAY.INTL(S67,0,11)</f>
        <v>46092</v>
      </c>
      <c r="V67" s="234"/>
      <c r="W67" s="233">
        <f>WORKDAY.INTL(U67,2,11)</f>
        <v>46094</v>
      </c>
      <c r="X67" s="234"/>
      <c r="Y67" s="233">
        <f>WORKDAY.INTL(W67,0,11)</f>
        <v>46094</v>
      </c>
      <c r="Z67" s="234"/>
      <c r="AA67" s="233">
        <f>WORKDAY.INTL(Y67,1,11)</f>
        <v>46095</v>
      </c>
      <c r="AB67" s="234"/>
      <c r="AC67" s="233">
        <f>WORKDAY.INTL(AA67,0,11)</f>
        <v>46095</v>
      </c>
      <c r="AD67" s="234"/>
      <c r="AE67" s="233">
        <f>WORKDAY.INTL(AC67,0,11)</f>
        <v>46095</v>
      </c>
      <c r="AF67" s="234"/>
      <c r="AG67" s="233">
        <f>WORKDAY.INTL(AE67,0,11)</f>
        <v>46095</v>
      </c>
      <c r="AH67" s="234"/>
      <c r="AI67" s="233">
        <f>WORKDAY.INTL(AG67,0,11)</f>
        <v>46095</v>
      </c>
      <c r="AJ67" s="234"/>
      <c r="AK67" s="70"/>
    </row>
    <row r="68" spans="1:37">
      <c r="A68" s="243"/>
      <c r="B68" s="246"/>
      <c r="C68" s="194"/>
      <c r="D68" s="9" t="s">
        <v>41</v>
      </c>
      <c r="E68" s="235">
        <v>46092</v>
      </c>
      <c r="F68" s="236"/>
      <c r="G68" s="235">
        <v>46092</v>
      </c>
      <c r="H68" s="237"/>
      <c r="I68" s="235">
        <v>46092</v>
      </c>
      <c r="J68" s="237"/>
      <c r="K68" s="235">
        <v>46092</v>
      </c>
      <c r="L68" s="237"/>
      <c r="M68" s="235">
        <v>46092</v>
      </c>
      <c r="N68" s="237"/>
      <c r="O68" s="235">
        <v>46092</v>
      </c>
      <c r="P68" s="237"/>
      <c r="Q68" s="235">
        <v>46092</v>
      </c>
      <c r="R68" s="237"/>
      <c r="S68" s="235">
        <v>46092</v>
      </c>
      <c r="T68" s="237"/>
      <c r="U68" s="235">
        <v>46093</v>
      </c>
      <c r="V68" s="237"/>
      <c r="W68" s="238">
        <v>46098</v>
      </c>
      <c r="X68" s="239"/>
      <c r="Y68" s="240"/>
      <c r="Z68" s="241"/>
      <c r="AA68" s="240"/>
      <c r="AB68" s="241"/>
      <c r="AC68" s="235"/>
      <c r="AD68" s="237"/>
      <c r="AE68" s="235"/>
      <c r="AF68" s="237"/>
      <c r="AG68" s="235"/>
      <c r="AH68" s="237"/>
      <c r="AI68" s="235"/>
      <c r="AJ68" s="237"/>
      <c r="AK68" s="70"/>
    </row>
    <row r="69" spans="1:37">
      <c r="A69" s="243"/>
      <c r="B69" s="246"/>
      <c r="C69" s="194"/>
      <c r="D69" s="9" t="s">
        <v>33</v>
      </c>
      <c r="E69" s="12">
        <v>15</v>
      </c>
      <c r="F69" s="122">
        <v>15</v>
      </c>
      <c r="G69" s="122">
        <v>15</v>
      </c>
      <c r="H69" s="122">
        <v>15</v>
      </c>
      <c r="I69" s="122">
        <v>15</v>
      </c>
      <c r="J69" s="122">
        <v>14</v>
      </c>
      <c r="K69" s="122">
        <v>14</v>
      </c>
      <c r="L69" s="122">
        <v>14</v>
      </c>
      <c r="M69" s="12">
        <v>14</v>
      </c>
      <c r="N69" s="12">
        <v>14</v>
      </c>
      <c r="O69" s="12">
        <v>14</v>
      </c>
      <c r="P69" s="12">
        <v>14</v>
      </c>
      <c r="Q69" s="12">
        <v>14</v>
      </c>
      <c r="R69" s="12">
        <v>14</v>
      </c>
      <c r="S69" s="12">
        <v>14</v>
      </c>
      <c r="T69" s="12">
        <v>14</v>
      </c>
      <c r="U69" s="12">
        <v>14</v>
      </c>
      <c r="V69" s="12">
        <v>14</v>
      </c>
      <c r="W69" s="12">
        <v>14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70">
        <f>AJ69/E69</f>
        <v>0</v>
      </c>
    </row>
    <row r="70" spans="1:37">
      <c r="A70" s="244"/>
      <c r="B70" s="247"/>
      <c r="C70" s="195"/>
      <c r="D70" s="10" t="s">
        <v>22</v>
      </c>
      <c r="E70" s="231">
        <f>F69/E69</f>
        <v>1</v>
      </c>
      <c r="F70" s="251"/>
      <c r="G70" s="231">
        <f>H69/G69</f>
        <v>1</v>
      </c>
      <c r="H70" s="251"/>
      <c r="I70" s="231">
        <f>J69/I69</f>
        <v>0.93333333333333335</v>
      </c>
      <c r="J70" s="251"/>
      <c r="K70" s="231">
        <f>L69/K69</f>
        <v>1</v>
      </c>
      <c r="L70" s="251"/>
      <c r="M70" s="231">
        <f>N69/M69</f>
        <v>1</v>
      </c>
      <c r="N70" s="232"/>
      <c r="O70" s="231">
        <f>P69/O69</f>
        <v>1</v>
      </c>
      <c r="P70" s="232"/>
      <c r="Q70" s="231">
        <f>R69/Q69</f>
        <v>1</v>
      </c>
      <c r="R70" s="232"/>
      <c r="S70" s="231">
        <f>T69/S69</f>
        <v>1</v>
      </c>
      <c r="T70" s="232"/>
      <c r="U70" s="231">
        <f>V69/U69</f>
        <v>1</v>
      </c>
      <c r="V70" s="232"/>
      <c r="W70" s="231">
        <f>X69/W69</f>
        <v>0</v>
      </c>
      <c r="X70" s="232"/>
      <c r="Y70" s="231" t="e">
        <f>Z69/Y69</f>
        <v>#DIV/0!</v>
      </c>
      <c r="Z70" s="232"/>
      <c r="AA70" s="231" t="e">
        <f>AB69/AA69</f>
        <v>#DIV/0!</v>
      </c>
      <c r="AB70" s="232"/>
      <c r="AC70" s="231" t="e">
        <f>AD69/AC69</f>
        <v>#DIV/0!</v>
      </c>
      <c r="AD70" s="232"/>
      <c r="AE70" s="231" t="e">
        <f>AF69/AE69</f>
        <v>#DIV/0!</v>
      </c>
      <c r="AF70" s="232"/>
      <c r="AG70" s="231" t="e">
        <f>AH69/AG69</f>
        <v>#DIV/0!</v>
      </c>
      <c r="AH70" s="232"/>
      <c r="AI70" s="231" t="e">
        <f>AJ69/AI69</f>
        <v>#DIV/0!</v>
      </c>
      <c r="AJ70" s="232"/>
      <c r="AK70" s="71"/>
    </row>
    <row r="71" spans="1:37">
      <c r="A71" s="242">
        <v>120050413</v>
      </c>
      <c r="B71" s="245">
        <v>15</v>
      </c>
      <c r="C71" s="221" t="s">
        <v>39</v>
      </c>
      <c r="D71" s="8" t="s">
        <v>40</v>
      </c>
      <c r="E71" s="233">
        <v>46091</v>
      </c>
      <c r="F71" s="248"/>
      <c r="G71" s="249">
        <f>WORKDAY.INTL(E71,0,11)</f>
        <v>46091</v>
      </c>
      <c r="H71" s="250"/>
      <c r="I71" s="249">
        <f>WORKDAY.INTL(G71,0,11)</f>
        <v>46091</v>
      </c>
      <c r="J71" s="250"/>
      <c r="K71" s="249">
        <f>WORKDAY.INTL(I71,0,11)</f>
        <v>46091</v>
      </c>
      <c r="L71" s="250"/>
      <c r="M71" s="233">
        <f>WORKDAY.INTL(E71,0,11)</f>
        <v>46091</v>
      </c>
      <c r="N71" s="234"/>
      <c r="O71" s="233">
        <f>WORKDAY.INTL(M71,0,11)</f>
        <v>46091</v>
      </c>
      <c r="P71" s="234"/>
      <c r="Q71" s="233">
        <f>WORKDAY.INTL(O71,0,11)</f>
        <v>46091</v>
      </c>
      <c r="R71" s="234"/>
      <c r="S71" s="233">
        <f>WORKDAY.INTL(Q71,0,11)</f>
        <v>46091</v>
      </c>
      <c r="T71" s="234"/>
      <c r="U71" s="233">
        <f>WORKDAY.INTL(S71,0,11)</f>
        <v>46091</v>
      </c>
      <c r="V71" s="234"/>
      <c r="W71" s="233">
        <f>WORKDAY.INTL(U71,2,11)</f>
        <v>46093</v>
      </c>
      <c r="X71" s="234"/>
      <c r="Y71" s="233">
        <f>WORKDAY.INTL(W71,0,11)</f>
        <v>46093</v>
      </c>
      <c r="Z71" s="234"/>
      <c r="AA71" s="233">
        <f>WORKDAY.INTL(Y71,1,11)</f>
        <v>46094</v>
      </c>
      <c r="AB71" s="234"/>
      <c r="AC71" s="233">
        <f>WORKDAY.INTL(AA71,0,11)</f>
        <v>46094</v>
      </c>
      <c r="AD71" s="234"/>
      <c r="AE71" s="233">
        <f>WORKDAY.INTL(AC71,0,11)</f>
        <v>46094</v>
      </c>
      <c r="AF71" s="234"/>
      <c r="AG71" s="233">
        <f>WORKDAY.INTL(AE71,0,11)</f>
        <v>46094</v>
      </c>
      <c r="AH71" s="234"/>
      <c r="AI71" s="233">
        <f>WORKDAY.INTL(AG71,0,11)</f>
        <v>46094</v>
      </c>
      <c r="AJ71" s="234"/>
      <c r="AK71" s="70"/>
    </row>
    <row r="72" spans="1:37">
      <c r="A72" s="243"/>
      <c r="B72" s="246"/>
      <c r="C72" s="194"/>
      <c r="D72" s="9" t="s">
        <v>41</v>
      </c>
      <c r="E72" s="235">
        <v>46091</v>
      </c>
      <c r="F72" s="236"/>
      <c r="G72" s="235">
        <v>46091</v>
      </c>
      <c r="H72" s="237"/>
      <c r="I72" s="235">
        <v>46091</v>
      </c>
      <c r="J72" s="237"/>
      <c r="K72" s="235">
        <v>46091</v>
      </c>
      <c r="L72" s="237"/>
      <c r="M72" s="235">
        <v>46091</v>
      </c>
      <c r="N72" s="237"/>
      <c r="O72" s="235">
        <v>46091</v>
      </c>
      <c r="P72" s="237"/>
      <c r="Q72" s="235">
        <v>46091</v>
      </c>
      <c r="R72" s="237"/>
      <c r="S72" s="235">
        <v>46091</v>
      </c>
      <c r="T72" s="237"/>
      <c r="U72" s="235">
        <v>46092</v>
      </c>
      <c r="V72" s="237"/>
      <c r="W72" s="235">
        <v>46098</v>
      </c>
      <c r="X72" s="237"/>
      <c r="Y72" s="235">
        <v>46098</v>
      </c>
      <c r="Z72" s="237"/>
      <c r="AA72" s="235">
        <v>46098</v>
      </c>
      <c r="AB72" s="237"/>
      <c r="AC72" s="235">
        <v>46098</v>
      </c>
      <c r="AD72" s="237"/>
      <c r="AE72" s="235">
        <v>46098</v>
      </c>
      <c r="AF72" s="237"/>
      <c r="AG72" s="235">
        <v>46098</v>
      </c>
      <c r="AH72" s="237"/>
      <c r="AI72" s="235">
        <v>46098</v>
      </c>
      <c r="AJ72" s="237"/>
      <c r="AK72" s="70"/>
    </row>
    <row r="73" spans="1:37">
      <c r="A73" s="243"/>
      <c r="B73" s="246"/>
      <c r="C73" s="194"/>
      <c r="D73" s="9" t="s">
        <v>33</v>
      </c>
      <c r="E73" s="12">
        <v>15</v>
      </c>
      <c r="F73" s="122">
        <v>15</v>
      </c>
      <c r="G73" s="122">
        <v>15</v>
      </c>
      <c r="H73" s="122">
        <v>15</v>
      </c>
      <c r="I73" s="122">
        <v>15</v>
      </c>
      <c r="J73" s="122">
        <v>15</v>
      </c>
      <c r="K73" s="122">
        <v>15</v>
      </c>
      <c r="L73" s="122">
        <v>15</v>
      </c>
      <c r="M73" s="12">
        <v>15</v>
      </c>
      <c r="N73" s="12">
        <v>15</v>
      </c>
      <c r="O73" s="12">
        <v>15</v>
      </c>
      <c r="P73" s="12">
        <v>15</v>
      </c>
      <c r="Q73" s="12">
        <v>15</v>
      </c>
      <c r="R73" s="12">
        <v>15</v>
      </c>
      <c r="S73" s="12">
        <v>15</v>
      </c>
      <c r="T73" s="12">
        <v>15</v>
      </c>
      <c r="U73" s="12">
        <v>15</v>
      </c>
      <c r="V73" s="12">
        <v>15</v>
      </c>
      <c r="W73" s="12">
        <v>15</v>
      </c>
      <c r="X73" s="12">
        <v>10</v>
      </c>
      <c r="Y73" s="12">
        <v>10</v>
      </c>
      <c r="Z73" s="12">
        <v>8</v>
      </c>
      <c r="AA73" s="12">
        <v>8</v>
      </c>
      <c r="AB73" s="12">
        <v>8</v>
      </c>
      <c r="AC73" s="12">
        <v>8</v>
      </c>
      <c r="AD73" s="12">
        <v>8</v>
      </c>
      <c r="AE73" s="12">
        <v>8</v>
      </c>
      <c r="AF73" s="12">
        <v>8</v>
      </c>
      <c r="AG73" s="12">
        <v>8</v>
      </c>
      <c r="AH73" s="12">
        <v>3</v>
      </c>
      <c r="AI73" s="12">
        <v>3</v>
      </c>
      <c r="AJ73" s="3"/>
      <c r="AK73" s="70">
        <f>AJ73/E73</f>
        <v>0</v>
      </c>
    </row>
    <row r="74" spans="1:37">
      <c r="A74" s="244"/>
      <c r="B74" s="247"/>
      <c r="C74" s="195"/>
      <c r="D74" s="10" t="s">
        <v>22</v>
      </c>
      <c r="E74" s="231">
        <f>F73/E73</f>
        <v>1</v>
      </c>
      <c r="F74" s="251"/>
      <c r="G74" s="231">
        <f>H73/G73</f>
        <v>1</v>
      </c>
      <c r="H74" s="251"/>
      <c r="I74" s="231">
        <f>J73/I73</f>
        <v>1</v>
      </c>
      <c r="J74" s="251"/>
      <c r="K74" s="231">
        <f>L73/K73</f>
        <v>1</v>
      </c>
      <c r="L74" s="251"/>
      <c r="M74" s="231">
        <f>N73/M73</f>
        <v>1</v>
      </c>
      <c r="N74" s="232"/>
      <c r="O74" s="231">
        <f>P73/O73</f>
        <v>1</v>
      </c>
      <c r="P74" s="232"/>
      <c r="Q74" s="231">
        <f>R73/Q73</f>
        <v>1</v>
      </c>
      <c r="R74" s="232"/>
      <c r="S74" s="231">
        <f>T73/S73</f>
        <v>1</v>
      </c>
      <c r="T74" s="232"/>
      <c r="U74" s="231">
        <f>V73/U73</f>
        <v>1</v>
      </c>
      <c r="V74" s="232"/>
      <c r="W74" s="231">
        <f>X73/W73</f>
        <v>0.66666666666666663</v>
      </c>
      <c r="X74" s="232"/>
      <c r="Y74" s="231">
        <f>Z73/Y73</f>
        <v>0.8</v>
      </c>
      <c r="Z74" s="232"/>
      <c r="AA74" s="231">
        <f>AB73/AA73</f>
        <v>1</v>
      </c>
      <c r="AB74" s="232"/>
      <c r="AC74" s="231">
        <f>AD73/AC73</f>
        <v>1</v>
      </c>
      <c r="AD74" s="232"/>
      <c r="AE74" s="231">
        <f>AF73/AE73</f>
        <v>1</v>
      </c>
      <c r="AF74" s="232"/>
      <c r="AG74" s="231">
        <f>AH73/AG73</f>
        <v>0.375</v>
      </c>
      <c r="AH74" s="232"/>
      <c r="AI74" s="231">
        <f>AJ73/AI73</f>
        <v>0</v>
      </c>
      <c r="AJ74" s="232"/>
      <c r="AK74" s="71"/>
    </row>
    <row r="75" spans="1:37">
      <c r="A75" s="242">
        <v>120050414</v>
      </c>
      <c r="B75" s="245">
        <v>15</v>
      </c>
      <c r="C75" s="221" t="s">
        <v>39</v>
      </c>
      <c r="D75" s="8" t="s">
        <v>40</v>
      </c>
      <c r="E75" s="233">
        <v>46093</v>
      </c>
      <c r="F75" s="248"/>
      <c r="G75" s="249">
        <f>WORKDAY.INTL(E75,0,11)</f>
        <v>46093</v>
      </c>
      <c r="H75" s="250"/>
      <c r="I75" s="249">
        <f>WORKDAY.INTL(G75,0,11)</f>
        <v>46093</v>
      </c>
      <c r="J75" s="250"/>
      <c r="K75" s="249">
        <f>WORKDAY.INTL(I75,0,11)</f>
        <v>46093</v>
      </c>
      <c r="L75" s="250"/>
      <c r="M75" s="233">
        <f>WORKDAY.INTL(E75,0,11)</f>
        <v>46093</v>
      </c>
      <c r="N75" s="234"/>
      <c r="O75" s="233">
        <f>WORKDAY.INTL(M75,0,11)</f>
        <v>46093</v>
      </c>
      <c r="P75" s="234"/>
      <c r="Q75" s="233">
        <f>WORKDAY.INTL(O75,0,11)</f>
        <v>46093</v>
      </c>
      <c r="R75" s="234"/>
      <c r="S75" s="233">
        <f>WORKDAY.INTL(Q75,0,11)</f>
        <v>46093</v>
      </c>
      <c r="T75" s="234"/>
      <c r="U75" s="233">
        <f>WORKDAY.INTL(S75,0,11)</f>
        <v>46093</v>
      </c>
      <c r="V75" s="234"/>
      <c r="W75" s="233">
        <f>WORKDAY.INTL(U75,2,11)</f>
        <v>46095</v>
      </c>
      <c r="X75" s="234"/>
      <c r="Y75" s="233">
        <f>WORKDAY.INTL(W75,0,11)</f>
        <v>46095</v>
      </c>
      <c r="Z75" s="234"/>
      <c r="AA75" s="233">
        <f>WORKDAY.INTL(Y75,1,11)</f>
        <v>46097</v>
      </c>
      <c r="AB75" s="234"/>
      <c r="AC75" s="233">
        <f>WORKDAY.INTL(AA75,0,11)</f>
        <v>46097</v>
      </c>
      <c r="AD75" s="234"/>
      <c r="AE75" s="233">
        <f>WORKDAY.INTL(AC75,0,11)</f>
        <v>46097</v>
      </c>
      <c r="AF75" s="234"/>
      <c r="AG75" s="233">
        <f>WORKDAY.INTL(AE75,0,11)</f>
        <v>46097</v>
      </c>
      <c r="AH75" s="234"/>
      <c r="AI75" s="233">
        <f>WORKDAY.INTL(AG75,0,11)</f>
        <v>46097</v>
      </c>
      <c r="AJ75" s="234"/>
      <c r="AK75" s="70"/>
    </row>
    <row r="76" spans="1:37">
      <c r="A76" s="243"/>
      <c r="B76" s="246"/>
      <c r="C76" s="194"/>
      <c r="D76" s="9" t="s">
        <v>41</v>
      </c>
      <c r="E76" s="235">
        <v>46092</v>
      </c>
      <c r="F76" s="236"/>
      <c r="G76" s="235">
        <v>46093</v>
      </c>
      <c r="H76" s="237"/>
      <c r="I76" s="235">
        <v>46093</v>
      </c>
      <c r="J76" s="237"/>
      <c r="K76" s="235">
        <v>46093</v>
      </c>
      <c r="L76" s="237"/>
      <c r="M76" s="235">
        <v>46093</v>
      </c>
      <c r="N76" s="237"/>
      <c r="O76" s="235">
        <v>46093</v>
      </c>
      <c r="P76" s="237"/>
      <c r="Q76" s="235">
        <v>46093</v>
      </c>
      <c r="R76" s="237"/>
      <c r="S76" s="235">
        <v>46093</v>
      </c>
      <c r="T76" s="237"/>
      <c r="U76" s="235">
        <v>46094</v>
      </c>
      <c r="V76" s="237"/>
      <c r="W76" s="235">
        <v>46097</v>
      </c>
      <c r="X76" s="237"/>
      <c r="Y76" s="238">
        <v>46098</v>
      </c>
      <c r="Z76" s="239"/>
      <c r="AA76" s="240"/>
      <c r="AB76" s="241"/>
      <c r="AC76" s="240"/>
      <c r="AD76" s="241"/>
      <c r="AE76" s="240"/>
      <c r="AF76" s="241"/>
      <c r="AG76" s="235"/>
      <c r="AH76" s="237"/>
      <c r="AI76" s="235"/>
      <c r="AJ76" s="237"/>
      <c r="AK76" s="70"/>
    </row>
    <row r="77" spans="1:37">
      <c r="A77" s="243"/>
      <c r="B77" s="246"/>
      <c r="C77" s="194"/>
      <c r="D77" s="9" t="s">
        <v>33</v>
      </c>
      <c r="E77" s="12">
        <v>15</v>
      </c>
      <c r="F77" s="122">
        <v>15</v>
      </c>
      <c r="G77" s="122">
        <v>15</v>
      </c>
      <c r="H77" s="122">
        <v>15</v>
      </c>
      <c r="I77" s="122">
        <v>15</v>
      </c>
      <c r="J77" s="122">
        <v>14</v>
      </c>
      <c r="K77" s="122">
        <v>14</v>
      </c>
      <c r="L77" s="122">
        <v>14</v>
      </c>
      <c r="M77" s="12">
        <v>14</v>
      </c>
      <c r="N77" s="12">
        <v>14</v>
      </c>
      <c r="O77" s="12">
        <v>14</v>
      </c>
      <c r="P77" s="12">
        <v>14</v>
      </c>
      <c r="Q77" s="12">
        <v>14</v>
      </c>
      <c r="R77" s="12">
        <v>14</v>
      </c>
      <c r="S77" s="12">
        <v>14</v>
      </c>
      <c r="T77" s="12">
        <v>14</v>
      </c>
      <c r="U77" s="12">
        <v>14</v>
      </c>
      <c r="V77" s="12">
        <v>14</v>
      </c>
      <c r="W77" s="12">
        <v>14</v>
      </c>
      <c r="X77" s="12">
        <v>11</v>
      </c>
      <c r="Y77" s="12">
        <v>11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70">
        <f>AJ77/E77</f>
        <v>0</v>
      </c>
    </row>
    <row r="78" spans="1:37">
      <c r="A78" s="244"/>
      <c r="B78" s="247"/>
      <c r="C78" s="195"/>
      <c r="D78" s="10" t="s">
        <v>22</v>
      </c>
      <c r="E78" s="231">
        <f>F77/E77</f>
        <v>1</v>
      </c>
      <c r="F78" s="251"/>
      <c r="G78" s="231">
        <f>H77/G77</f>
        <v>1</v>
      </c>
      <c r="H78" s="251"/>
      <c r="I78" s="231">
        <f>J77/I77</f>
        <v>0.93333333333333335</v>
      </c>
      <c r="J78" s="251"/>
      <c r="K78" s="231">
        <f>L77/K77</f>
        <v>1</v>
      </c>
      <c r="L78" s="251"/>
      <c r="M78" s="231">
        <f>N77/M77</f>
        <v>1</v>
      </c>
      <c r="N78" s="232"/>
      <c r="O78" s="231">
        <f>P77/O77</f>
        <v>1</v>
      </c>
      <c r="P78" s="232"/>
      <c r="Q78" s="231">
        <f>R77/Q77</f>
        <v>1</v>
      </c>
      <c r="R78" s="232"/>
      <c r="S78" s="231">
        <f>T77/S77</f>
        <v>1</v>
      </c>
      <c r="T78" s="232"/>
      <c r="U78" s="231">
        <f>V77/U77</f>
        <v>1</v>
      </c>
      <c r="V78" s="232"/>
      <c r="W78" s="231">
        <f>X77/W77</f>
        <v>0.7857142857142857</v>
      </c>
      <c r="X78" s="232"/>
      <c r="Y78" s="231">
        <f>Z77/Y77</f>
        <v>0</v>
      </c>
      <c r="Z78" s="232"/>
      <c r="AA78" s="231" t="e">
        <f>AB77/AA77</f>
        <v>#DIV/0!</v>
      </c>
      <c r="AB78" s="232"/>
      <c r="AC78" s="231" t="e">
        <f>AD77/AC77</f>
        <v>#DIV/0!</v>
      </c>
      <c r="AD78" s="232"/>
      <c r="AE78" s="231" t="e">
        <f>AF77/AE77</f>
        <v>#DIV/0!</v>
      </c>
      <c r="AF78" s="232"/>
      <c r="AG78" s="231" t="e">
        <f>AH77/AG77</f>
        <v>#DIV/0!</v>
      </c>
      <c r="AH78" s="232"/>
      <c r="AI78" s="231" t="e">
        <f>AJ77/AI77</f>
        <v>#DIV/0!</v>
      </c>
      <c r="AJ78" s="232"/>
      <c r="AK78" s="71"/>
    </row>
    <row r="79" spans="1:37">
      <c r="A79" s="242">
        <v>120050602</v>
      </c>
      <c r="B79" s="245">
        <v>15</v>
      </c>
      <c r="C79" s="221" t="s">
        <v>39</v>
      </c>
      <c r="D79" s="8" t="s">
        <v>40</v>
      </c>
      <c r="E79" s="233">
        <v>46094</v>
      </c>
      <c r="F79" s="248"/>
      <c r="G79" s="249">
        <f>WORKDAY.INTL(E79,0,11)</f>
        <v>46094</v>
      </c>
      <c r="H79" s="250"/>
      <c r="I79" s="249">
        <f>WORKDAY.INTL(G79,0,11)</f>
        <v>46094</v>
      </c>
      <c r="J79" s="250"/>
      <c r="K79" s="249">
        <f>WORKDAY.INTL(I79,0,11)</f>
        <v>46094</v>
      </c>
      <c r="L79" s="250"/>
      <c r="M79" s="233">
        <f>WORKDAY.INTL(E79,0,11)</f>
        <v>46094</v>
      </c>
      <c r="N79" s="234"/>
      <c r="O79" s="233">
        <f>WORKDAY.INTL(M79,0,11)</f>
        <v>46094</v>
      </c>
      <c r="P79" s="234"/>
      <c r="Q79" s="233">
        <f>WORKDAY.INTL(O79,0,11)</f>
        <v>46094</v>
      </c>
      <c r="R79" s="234"/>
      <c r="S79" s="233">
        <f>WORKDAY.INTL(Q79,0,11)</f>
        <v>46094</v>
      </c>
      <c r="T79" s="234"/>
      <c r="U79" s="233">
        <f>WORKDAY.INTL(S79,0,11)</f>
        <v>46094</v>
      </c>
      <c r="V79" s="234"/>
      <c r="W79" s="233">
        <f>WORKDAY.INTL(U79,2,11)</f>
        <v>46097</v>
      </c>
      <c r="X79" s="234"/>
      <c r="Y79" s="233">
        <f>WORKDAY.INTL(W79,0,11)</f>
        <v>46097</v>
      </c>
      <c r="Z79" s="234"/>
      <c r="AA79" s="233">
        <f>WORKDAY.INTL(Y79,1,11)</f>
        <v>46098</v>
      </c>
      <c r="AB79" s="234"/>
      <c r="AC79" s="233">
        <f>WORKDAY.INTL(AA79,0,11)</f>
        <v>46098</v>
      </c>
      <c r="AD79" s="234"/>
      <c r="AE79" s="233">
        <f>WORKDAY.INTL(AC79,0,11)</f>
        <v>46098</v>
      </c>
      <c r="AF79" s="234"/>
      <c r="AG79" s="233">
        <f>WORKDAY.INTL(AE79,0,11)</f>
        <v>46098</v>
      </c>
      <c r="AH79" s="234"/>
      <c r="AI79" s="233">
        <f>WORKDAY.INTL(AG79,0,11)</f>
        <v>46098</v>
      </c>
      <c r="AJ79" s="234"/>
      <c r="AK79" s="70"/>
    </row>
    <row r="80" spans="1:37">
      <c r="A80" s="243"/>
      <c r="B80" s="246"/>
      <c r="C80" s="194"/>
      <c r="D80" s="9" t="s">
        <v>41</v>
      </c>
      <c r="E80" s="235">
        <v>46094</v>
      </c>
      <c r="F80" s="236"/>
      <c r="G80" s="235">
        <v>46094</v>
      </c>
      <c r="H80" s="237"/>
      <c r="I80" s="235">
        <v>46094</v>
      </c>
      <c r="J80" s="237"/>
      <c r="K80" s="235">
        <v>46094</v>
      </c>
      <c r="L80" s="237"/>
      <c r="M80" s="235">
        <v>46094</v>
      </c>
      <c r="N80" s="237"/>
      <c r="O80" s="235">
        <v>46094</v>
      </c>
      <c r="P80" s="237"/>
      <c r="Q80" s="235">
        <v>46094</v>
      </c>
      <c r="R80" s="237"/>
      <c r="S80" s="235">
        <v>46094</v>
      </c>
      <c r="T80" s="237"/>
      <c r="U80" s="235">
        <v>46097</v>
      </c>
      <c r="V80" s="237"/>
      <c r="W80" s="235">
        <v>46097</v>
      </c>
      <c r="X80" s="237"/>
      <c r="Y80" s="235">
        <v>46098</v>
      </c>
      <c r="Z80" s="237"/>
      <c r="AA80" s="235">
        <v>46099</v>
      </c>
      <c r="AB80" s="237"/>
      <c r="AC80" s="235">
        <v>46099</v>
      </c>
      <c r="AD80" s="237"/>
      <c r="AE80" s="235">
        <v>46099</v>
      </c>
      <c r="AF80" s="237"/>
      <c r="AG80" s="235">
        <v>46104</v>
      </c>
      <c r="AH80" s="237"/>
      <c r="AI80" s="235">
        <v>46104</v>
      </c>
      <c r="AJ80" s="237"/>
      <c r="AK80" s="70"/>
    </row>
    <row r="81" spans="1:37">
      <c r="A81" s="243"/>
      <c r="B81" s="246"/>
      <c r="C81" s="194"/>
      <c r="D81" s="9" t="s">
        <v>33</v>
      </c>
      <c r="E81" s="12">
        <v>15</v>
      </c>
      <c r="F81" s="122">
        <v>15</v>
      </c>
      <c r="G81" s="122">
        <v>15</v>
      </c>
      <c r="H81" s="122">
        <v>15</v>
      </c>
      <c r="I81" s="122">
        <v>15</v>
      </c>
      <c r="J81" s="122">
        <v>15</v>
      </c>
      <c r="K81" s="122">
        <v>15</v>
      </c>
      <c r="L81" s="122">
        <v>15</v>
      </c>
      <c r="M81" s="12">
        <v>15</v>
      </c>
      <c r="N81" s="12">
        <v>15</v>
      </c>
      <c r="O81" s="12">
        <v>15</v>
      </c>
      <c r="P81" s="12">
        <v>14</v>
      </c>
      <c r="Q81" s="12">
        <v>14</v>
      </c>
      <c r="R81" s="12">
        <v>14</v>
      </c>
      <c r="S81" s="12">
        <v>14</v>
      </c>
      <c r="T81" s="12">
        <v>14</v>
      </c>
      <c r="U81" s="12">
        <v>14</v>
      </c>
      <c r="V81" s="12">
        <v>13</v>
      </c>
      <c r="W81" s="12">
        <v>13</v>
      </c>
      <c r="X81" s="12">
        <v>9</v>
      </c>
      <c r="Y81" s="12">
        <v>9</v>
      </c>
      <c r="Z81" s="3">
        <v>8</v>
      </c>
      <c r="AA81" s="3">
        <v>8</v>
      </c>
      <c r="AB81" s="3">
        <v>8</v>
      </c>
      <c r="AC81" s="3">
        <v>8</v>
      </c>
      <c r="AD81" s="3">
        <v>8</v>
      </c>
      <c r="AE81" s="3">
        <v>8</v>
      </c>
      <c r="AF81" s="3">
        <v>8</v>
      </c>
      <c r="AG81" s="3">
        <v>8</v>
      </c>
      <c r="AH81" s="3">
        <v>5</v>
      </c>
      <c r="AI81" s="3">
        <v>5</v>
      </c>
      <c r="AJ81" s="3">
        <v>4</v>
      </c>
      <c r="AK81" s="70">
        <f>AJ81/E81</f>
        <v>0.26666666666666666</v>
      </c>
    </row>
    <row r="82" spans="1:37">
      <c r="A82" s="244"/>
      <c r="B82" s="247"/>
      <c r="C82" s="195"/>
      <c r="D82" s="10" t="s">
        <v>22</v>
      </c>
      <c r="E82" s="231">
        <f>F81/E81</f>
        <v>1</v>
      </c>
      <c r="F82" s="251"/>
      <c r="G82" s="231">
        <f>H81/G81</f>
        <v>1</v>
      </c>
      <c r="H82" s="251"/>
      <c r="I82" s="231">
        <f>J81/I81</f>
        <v>1</v>
      </c>
      <c r="J82" s="251"/>
      <c r="K82" s="231">
        <f>L81/K81</f>
        <v>1</v>
      </c>
      <c r="L82" s="251"/>
      <c r="M82" s="231">
        <f>N81/M81</f>
        <v>1</v>
      </c>
      <c r="N82" s="232"/>
      <c r="O82" s="231">
        <f>P81/O81</f>
        <v>0.93333333333333335</v>
      </c>
      <c r="P82" s="232"/>
      <c r="Q82" s="231">
        <f>R81/Q81</f>
        <v>1</v>
      </c>
      <c r="R82" s="232"/>
      <c r="S82" s="231">
        <f>T81/S81</f>
        <v>1</v>
      </c>
      <c r="T82" s="232"/>
      <c r="U82" s="231">
        <f>V81/U81</f>
        <v>0.9285714285714286</v>
      </c>
      <c r="V82" s="232"/>
      <c r="W82" s="231">
        <f>X81/W81</f>
        <v>0.69230769230769229</v>
      </c>
      <c r="X82" s="232"/>
      <c r="Y82" s="231">
        <f>Z81/Y81</f>
        <v>0.88888888888888884</v>
      </c>
      <c r="Z82" s="232"/>
      <c r="AA82" s="231">
        <f>AB81/AA81</f>
        <v>1</v>
      </c>
      <c r="AB82" s="232"/>
      <c r="AC82" s="231">
        <f>AD81/AC81</f>
        <v>1</v>
      </c>
      <c r="AD82" s="232"/>
      <c r="AE82" s="231">
        <f>AF81/AE81</f>
        <v>1</v>
      </c>
      <c r="AF82" s="232"/>
      <c r="AG82" s="231">
        <f>AH81/AG81</f>
        <v>0.625</v>
      </c>
      <c r="AH82" s="232"/>
      <c r="AI82" s="231">
        <f>AJ81/AI81</f>
        <v>0.8</v>
      </c>
      <c r="AJ82" s="232"/>
      <c r="AK82" s="71"/>
    </row>
    <row r="83" spans="1:37">
      <c r="A83" s="242">
        <v>120050337</v>
      </c>
      <c r="B83" s="245">
        <v>15</v>
      </c>
      <c r="C83" s="221" t="s">
        <v>39</v>
      </c>
      <c r="D83" s="8" t="s">
        <v>40</v>
      </c>
      <c r="E83" s="233">
        <v>46094</v>
      </c>
      <c r="F83" s="248"/>
      <c r="G83" s="249">
        <f>WORKDAY.INTL(E83,0,11)</f>
        <v>46094</v>
      </c>
      <c r="H83" s="250"/>
      <c r="I83" s="249">
        <f>WORKDAY.INTL(G83,0,11)</f>
        <v>46094</v>
      </c>
      <c r="J83" s="250"/>
      <c r="K83" s="249">
        <f>WORKDAY.INTL(I83,0,11)</f>
        <v>46094</v>
      </c>
      <c r="L83" s="250"/>
      <c r="M83" s="233">
        <f>WORKDAY.INTL(E83,0,11)</f>
        <v>46094</v>
      </c>
      <c r="N83" s="234"/>
      <c r="O83" s="233">
        <f>WORKDAY.INTL(M83,0,11)</f>
        <v>46094</v>
      </c>
      <c r="P83" s="234"/>
      <c r="Q83" s="233">
        <f>WORKDAY.INTL(O83,0,11)</f>
        <v>46094</v>
      </c>
      <c r="R83" s="234"/>
      <c r="S83" s="233">
        <f>WORKDAY.INTL(Q83,0,11)</f>
        <v>46094</v>
      </c>
      <c r="T83" s="234"/>
      <c r="U83" s="233">
        <f>WORKDAY.INTL(S83,0,11)</f>
        <v>46094</v>
      </c>
      <c r="V83" s="234"/>
      <c r="W83" s="233">
        <f>WORKDAY.INTL(U83,2,11)</f>
        <v>46097</v>
      </c>
      <c r="X83" s="234"/>
      <c r="Y83" s="233">
        <f>WORKDAY.INTL(W83,0,11)</f>
        <v>46097</v>
      </c>
      <c r="Z83" s="234"/>
      <c r="AA83" s="233">
        <f>WORKDAY.INTL(Y83,1,11)</f>
        <v>46098</v>
      </c>
      <c r="AB83" s="234"/>
      <c r="AC83" s="233">
        <f>WORKDAY.INTL(AA83,0,11)</f>
        <v>46098</v>
      </c>
      <c r="AD83" s="234"/>
      <c r="AE83" s="233">
        <f>WORKDAY.INTL(AC83,0,11)</f>
        <v>46098</v>
      </c>
      <c r="AF83" s="234"/>
      <c r="AG83" s="233">
        <f>WORKDAY.INTL(AE83,0,11)</f>
        <v>46098</v>
      </c>
      <c r="AH83" s="234"/>
      <c r="AI83" s="233">
        <f>WORKDAY.INTL(AG83,0,11)</f>
        <v>46098</v>
      </c>
      <c r="AJ83" s="234"/>
      <c r="AK83" s="70"/>
    </row>
    <row r="84" spans="1:37">
      <c r="A84" s="243"/>
      <c r="B84" s="246"/>
      <c r="C84" s="194"/>
      <c r="D84" s="9" t="s">
        <v>41</v>
      </c>
      <c r="E84" s="235"/>
      <c r="F84" s="237"/>
      <c r="G84" s="235"/>
      <c r="H84" s="237"/>
      <c r="I84" s="235"/>
      <c r="J84" s="237"/>
      <c r="K84" s="235"/>
      <c r="L84" s="237"/>
      <c r="M84" s="235"/>
      <c r="N84" s="237"/>
      <c r="O84" s="235"/>
      <c r="P84" s="237"/>
      <c r="Q84" s="235"/>
      <c r="R84" s="237"/>
      <c r="S84" s="235"/>
      <c r="T84" s="237"/>
      <c r="U84" s="235"/>
      <c r="V84" s="237"/>
      <c r="W84" s="235"/>
      <c r="X84" s="237"/>
      <c r="Y84" s="235"/>
      <c r="Z84" s="237"/>
      <c r="AA84" s="235"/>
      <c r="AB84" s="237"/>
      <c r="AC84" s="235"/>
      <c r="AD84" s="237"/>
      <c r="AE84" s="235"/>
      <c r="AF84" s="237"/>
      <c r="AG84" s="235"/>
      <c r="AH84" s="237"/>
      <c r="AI84" s="235"/>
      <c r="AJ84" s="237"/>
      <c r="AK84" s="70"/>
    </row>
    <row r="85" spans="1:37">
      <c r="A85" s="243"/>
      <c r="B85" s="246"/>
      <c r="C85" s="194"/>
      <c r="D85" s="9" t="s">
        <v>33</v>
      </c>
      <c r="E85" s="130">
        <v>15</v>
      </c>
      <c r="F85" s="130">
        <v>15</v>
      </c>
      <c r="G85" s="130">
        <v>15</v>
      </c>
      <c r="H85" s="130">
        <v>15</v>
      </c>
      <c r="I85" s="130">
        <v>15</v>
      </c>
      <c r="J85" s="130">
        <v>15</v>
      </c>
      <c r="K85" s="130">
        <v>15</v>
      </c>
      <c r="L85" s="130">
        <v>15</v>
      </c>
      <c r="M85" s="3">
        <v>15</v>
      </c>
      <c r="N85" s="3">
        <v>15</v>
      </c>
      <c r="O85" s="3">
        <v>15</v>
      </c>
      <c r="P85" s="3">
        <v>15</v>
      </c>
      <c r="Q85" s="3">
        <v>15</v>
      </c>
      <c r="R85" s="3">
        <v>15</v>
      </c>
      <c r="S85" s="3">
        <v>15</v>
      </c>
      <c r="T85" s="3">
        <v>15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70" t="e">
        <f>AJ85/#REF!</f>
        <v>#REF!</v>
      </c>
    </row>
    <row r="86" spans="1:37">
      <c r="A86" s="244"/>
      <c r="B86" s="247"/>
      <c r="C86" s="195"/>
      <c r="D86" s="10" t="s">
        <v>22</v>
      </c>
      <c r="E86" s="231">
        <f>F85/E85</f>
        <v>1</v>
      </c>
      <c r="F86" s="251"/>
      <c r="G86" s="231">
        <f>H85/G85</f>
        <v>1</v>
      </c>
      <c r="H86" s="251"/>
      <c r="I86" s="231">
        <f>J85/I85</f>
        <v>1</v>
      </c>
      <c r="J86" s="251"/>
      <c r="K86" s="231">
        <f>L85/K85</f>
        <v>1</v>
      </c>
      <c r="L86" s="251"/>
      <c r="M86" s="231">
        <f>N85/M85</f>
        <v>1</v>
      </c>
      <c r="N86" s="232"/>
      <c r="O86" s="231">
        <f>P85/O85</f>
        <v>1</v>
      </c>
      <c r="P86" s="232"/>
      <c r="Q86" s="231">
        <f>R85/Q85</f>
        <v>1</v>
      </c>
      <c r="R86" s="232"/>
      <c r="S86" s="231">
        <f>T85/S85</f>
        <v>1</v>
      </c>
      <c r="T86" s="232"/>
      <c r="U86" s="231" t="e">
        <f>V85/U85</f>
        <v>#DIV/0!</v>
      </c>
      <c r="V86" s="232"/>
      <c r="W86" s="231" t="e">
        <f>X85/W85</f>
        <v>#DIV/0!</v>
      </c>
      <c r="X86" s="232"/>
      <c r="Y86" s="231" t="e">
        <f>Z85/Y85</f>
        <v>#DIV/0!</v>
      </c>
      <c r="Z86" s="232"/>
      <c r="AA86" s="231" t="e">
        <f>AB85/AA85</f>
        <v>#DIV/0!</v>
      </c>
      <c r="AB86" s="232"/>
      <c r="AC86" s="231" t="e">
        <f>AD85/AC85</f>
        <v>#DIV/0!</v>
      </c>
      <c r="AD86" s="232"/>
      <c r="AE86" s="231" t="e">
        <f>AF85/AE85</f>
        <v>#DIV/0!</v>
      </c>
      <c r="AF86" s="232"/>
      <c r="AG86" s="231" t="e">
        <f>AH85/AG85</f>
        <v>#DIV/0!</v>
      </c>
      <c r="AH86" s="232"/>
      <c r="AI86" s="231" t="e">
        <f>AJ85/AI85</f>
        <v>#DIV/0!</v>
      </c>
      <c r="AJ86" s="232"/>
      <c r="AK86" s="71"/>
    </row>
    <row r="87" spans="1:37">
      <c r="A87" s="242">
        <v>120050338</v>
      </c>
      <c r="B87" s="245">
        <v>35</v>
      </c>
      <c r="C87" s="221" t="s">
        <v>39</v>
      </c>
      <c r="D87" s="8" t="s">
        <v>40</v>
      </c>
      <c r="E87" s="233">
        <v>46097</v>
      </c>
      <c r="F87" s="248"/>
      <c r="G87" s="249">
        <f>WORKDAY.INTL(E87,0,11)</f>
        <v>46097</v>
      </c>
      <c r="H87" s="250"/>
      <c r="I87" s="249">
        <f>WORKDAY.INTL(G87,0,11)</f>
        <v>46097</v>
      </c>
      <c r="J87" s="250"/>
      <c r="K87" s="249">
        <f>WORKDAY.INTL(I87,0,11)</f>
        <v>46097</v>
      </c>
      <c r="L87" s="250"/>
      <c r="M87" s="233">
        <f>WORKDAY.INTL(E87,0,11)</f>
        <v>46097</v>
      </c>
      <c r="N87" s="234"/>
      <c r="O87" s="233">
        <f>WORKDAY.INTL(M87,0,11)</f>
        <v>46097</v>
      </c>
      <c r="P87" s="234"/>
      <c r="Q87" s="233">
        <f>WORKDAY.INTL(O87,0,11)</f>
        <v>46097</v>
      </c>
      <c r="R87" s="234"/>
      <c r="S87" s="233">
        <f>WORKDAY.INTL(Q87,0,11)</f>
        <v>46097</v>
      </c>
      <c r="T87" s="234"/>
      <c r="U87" s="233">
        <f>WORKDAY.INTL(S87,0,11)</f>
        <v>46097</v>
      </c>
      <c r="V87" s="234"/>
      <c r="W87" s="233">
        <f>WORKDAY.INTL(U87,2,11)</f>
        <v>46099</v>
      </c>
      <c r="X87" s="234"/>
      <c r="Y87" s="233">
        <f>WORKDAY.INTL(W87,0,11)</f>
        <v>46099</v>
      </c>
      <c r="Z87" s="234"/>
      <c r="AA87" s="233">
        <f>WORKDAY.INTL(Y87,1,11)</f>
        <v>46100</v>
      </c>
      <c r="AB87" s="234"/>
      <c r="AC87" s="233">
        <f>WORKDAY.INTL(AA87,0,11)</f>
        <v>46100</v>
      </c>
      <c r="AD87" s="234"/>
      <c r="AE87" s="233">
        <f>WORKDAY.INTL(AC87,0,11)</f>
        <v>46100</v>
      </c>
      <c r="AF87" s="234"/>
      <c r="AG87" s="233">
        <f>WORKDAY.INTL(AE87,0,11)</f>
        <v>46100</v>
      </c>
      <c r="AH87" s="234"/>
      <c r="AI87" s="233">
        <f>WORKDAY.INTL(AG87,0,11)</f>
        <v>46100</v>
      </c>
      <c r="AJ87" s="234"/>
      <c r="AK87" s="70"/>
    </row>
    <row r="88" spans="1:37">
      <c r="A88" s="243"/>
      <c r="B88" s="246"/>
      <c r="C88" s="194"/>
      <c r="D88" s="9" t="s">
        <v>41</v>
      </c>
      <c r="E88" s="235">
        <v>46097</v>
      </c>
      <c r="F88" s="236"/>
      <c r="G88" s="235">
        <v>46097</v>
      </c>
      <c r="H88" s="237"/>
      <c r="I88" s="235">
        <v>46097</v>
      </c>
      <c r="J88" s="237"/>
      <c r="K88" s="235">
        <v>46097</v>
      </c>
      <c r="L88" s="237"/>
      <c r="M88" s="235">
        <v>46097</v>
      </c>
      <c r="N88" s="237"/>
      <c r="O88" s="235">
        <v>46097</v>
      </c>
      <c r="P88" s="237"/>
      <c r="Q88" s="235">
        <v>46097</v>
      </c>
      <c r="R88" s="237"/>
      <c r="S88" s="235">
        <v>46097</v>
      </c>
      <c r="T88" s="237"/>
      <c r="U88" s="235">
        <v>46097</v>
      </c>
      <c r="V88" s="237"/>
      <c r="W88" s="235">
        <v>46099</v>
      </c>
      <c r="X88" s="237"/>
      <c r="Y88" s="235">
        <v>46099</v>
      </c>
      <c r="Z88" s="237"/>
      <c r="AA88" s="235">
        <v>46100</v>
      </c>
      <c r="AB88" s="237"/>
      <c r="AC88" s="235">
        <v>46100</v>
      </c>
      <c r="AD88" s="237"/>
      <c r="AE88" s="235">
        <v>46101</v>
      </c>
      <c r="AF88" s="237"/>
      <c r="AG88" s="235">
        <v>46104</v>
      </c>
      <c r="AH88" s="237"/>
      <c r="AI88" s="235">
        <v>46104</v>
      </c>
      <c r="AJ88" s="237"/>
      <c r="AK88" s="70"/>
    </row>
    <row r="89" spans="1:37">
      <c r="A89" s="243"/>
      <c r="B89" s="246"/>
      <c r="C89" s="194"/>
      <c r="D89" s="9" t="s">
        <v>33</v>
      </c>
      <c r="E89" s="12">
        <v>35</v>
      </c>
      <c r="F89" s="122">
        <v>35</v>
      </c>
      <c r="G89" s="122">
        <v>35</v>
      </c>
      <c r="H89" s="122">
        <v>35</v>
      </c>
      <c r="I89" s="122">
        <v>35</v>
      </c>
      <c r="J89" s="122">
        <v>35</v>
      </c>
      <c r="K89" s="122">
        <v>35</v>
      </c>
      <c r="L89" s="122">
        <v>35</v>
      </c>
      <c r="M89" s="12">
        <v>35</v>
      </c>
      <c r="N89" s="12">
        <v>35</v>
      </c>
      <c r="O89" s="12">
        <v>35</v>
      </c>
      <c r="P89" s="12">
        <v>35</v>
      </c>
      <c r="Q89" s="12">
        <v>35</v>
      </c>
      <c r="R89" s="12">
        <v>35</v>
      </c>
      <c r="S89" s="12">
        <v>35</v>
      </c>
      <c r="T89" s="12">
        <v>35</v>
      </c>
      <c r="U89" s="12">
        <v>35</v>
      </c>
      <c r="V89" s="12">
        <v>35</v>
      </c>
      <c r="W89" s="12">
        <v>35</v>
      </c>
      <c r="X89" s="12">
        <v>30</v>
      </c>
      <c r="Y89" s="12">
        <v>30</v>
      </c>
      <c r="Z89" s="12">
        <v>25</v>
      </c>
      <c r="AA89" s="12">
        <v>25</v>
      </c>
      <c r="AB89" s="12">
        <v>23</v>
      </c>
      <c r="AC89" s="12">
        <v>23</v>
      </c>
      <c r="AD89" s="12">
        <v>15</v>
      </c>
      <c r="AE89" s="12">
        <v>15</v>
      </c>
      <c r="AF89" s="12">
        <v>13</v>
      </c>
      <c r="AG89" s="12">
        <v>13</v>
      </c>
      <c r="AH89" s="12">
        <v>3</v>
      </c>
      <c r="AI89" s="12">
        <v>3</v>
      </c>
      <c r="AJ89" s="3"/>
      <c r="AK89" s="70">
        <f>AJ89/E89</f>
        <v>0</v>
      </c>
    </row>
    <row r="90" spans="1:37">
      <c r="A90" s="244"/>
      <c r="B90" s="247"/>
      <c r="C90" s="195"/>
      <c r="D90" s="10" t="s">
        <v>22</v>
      </c>
      <c r="E90" s="231">
        <f>F89/E89</f>
        <v>1</v>
      </c>
      <c r="F90" s="251"/>
      <c r="G90" s="231">
        <f>H89/G89</f>
        <v>1</v>
      </c>
      <c r="H90" s="251"/>
      <c r="I90" s="231">
        <f>J89/I89</f>
        <v>1</v>
      </c>
      <c r="J90" s="251"/>
      <c r="K90" s="231">
        <f>L89/K89</f>
        <v>1</v>
      </c>
      <c r="L90" s="251"/>
      <c r="M90" s="231">
        <f>N89/M89</f>
        <v>1</v>
      </c>
      <c r="N90" s="232"/>
      <c r="O90" s="231">
        <f>P89/O89</f>
        <v>1</v>
      </c>
      <c r="P90" s="232"/>
      <c r="Q90" s="231">
        <f>R89/Q89</f>
        <v>1</v>
      </c>
      <c r="R90" s="232"/>
      <c r="S90" s="231">
        <f>T89/S89</f>
        <v>1</v>
      </c>
      <c r="T90" s="232"/>
      <c r="U90" s="231">
        <f>V89/U89</f>
        <v>1</v>
      </c>
      <c r="V90" s="232"/>
      <c r="W90" s="231">
        <f>X89/W89</f>
        <v>0.8571428571428571</v>
      </c>
      <c r="X90" s="232"/>
      <c r="Y90" s="231">
        <f>Z89/Y89</f>
        <v>0.83333333333333337</v>
      </c>
      <c r="Z90" s="232"/>
      <c r="AA90" s="231">
        <f>AB89/AA89</f>
        <v>0.92</v>
      </c>
      <c r="AB90" s="232"/>
      <c r="AC90" s="231">
        <f>AD89/AC89</f>
        <v>0.65217391304347827</v>
      </c>
      <c r="AD90" s="232"/>
      <c r="AE90" s="231">
        <f>AF89/AE89</f>
        <v>0.8666666666666667</v>
      </c>
      <c r="AF90" s="232"/>
      <c r="AG90" s="231">
        <f>AH89/AG89</f>
        <v>0.23076923076923078</v>
      </c>
      <c r="AH90" s="232"/>
      <c r="AI90" s="231">
        <f>AJ89/AI89</f>
        <v>0</v>
      </c>
      <c r="AJ90" s="232"/>
      <c r="AK90" s="71"/>
    </row>
    <row r="91" spans="1:37">
      <c r="E91" s="74">
        <f>SUM(E5,E9,E13,E17,E21,E25,E29,E33,E37,E41,E45,E49,E53,E57,E61,E65,E69,E73,E77,E81,E85,E89)</f>
        <v>429</v>
      </c>
      <c r="F91" s="74">
        <f t="shared" ref="F91:AJ91" si="163">SUM(F5,F9,F13,F17,F21,F25,F29,F33,F37,F41,F45,F49,F53,F57,F61,F65,F69,F73,F77,F81,F85,F89)</f>
        <v>429</v>
      </c>
      <c r="G91" s="74">
        <f t="shared" si="163"/>
        <v>429</v>
      </c>
      <c r="H91" s="74">
        <f t="shared" si="163"/>
        <v>429</v>
      </c>
      <c r="I91" s="74">
        <f t="shared" si="163"/>
        <v>429</v>
      </c>
      <c r="J91" s="74">
        <f t="shared" si="163"/>
        <v>408</v>
      </c>
      <c r="K91" s="74">
        <f t="shared" si="163"/>
        <v>408</v>
      </c>
      <c r="L91" s="74">
        <f t="shared" si="163"/>
        <v>408</v>
      </c>
      <c r="M91" s="74">
        <f t="shared" si="163"/>
        <v>408</v>
      </c>
      <c r="N91" s="74">
        <f t="shared" si="163"/>
        <v>408</v>
      </c>
      <c r="O91" s="74">
        <f t="shared" si="163"/>
        <v>408</v>
      </c>
      <c r="P91" s="74">
        <f t="shared" si="163"/>
        <v>407</v>
      </c>
      <c r="Q91" s="74">
        <f t="shared" si="163"/>
        <v>407</v>
      </c>
      <c r="R91" s="74">
        <f t="shared" si="163"/>
        <v>407</v>
      </c>
      <c r="S91" s="74">
        <f t="shared" si="163"/>
        <v>407</v>
      </c>
      <c r="T91" s="74">
        <f t="shared" si="163"/>
        <v>404</v>
      </c>
      <c r="U91" s="74">
        <f t="shared" si="163"/>
        <v>389</v>
      </c>
      <c r="V91" s="74">
        <f t="shared" si="163"/>
        <v>381</v>
      </c>
      <c r="W91" s="74">
        <f t="shared" si="163"/>
        <v>381</v>
      </c>
      <c r="X91" s="74">
        <f t="shared" si="163"/>
        <v>270</v>
      </c>
      <c r="Y91" s="74">
        <f t="shared" si="163"/>
        <v>270</v>
      </c>
      <c r="Z91" s="74">
        <f t="shared" si="163"/>
        <v>226</v>
      </c>
      <c r="AA91" s="74">
        <f t="shared" si="163"/>
        <v>226</v>
      </c>
      <c r="AB91" s="74">
        <f t="shared" si="163"/>
        <v>215</v>
      </c>
      <c r="AC91" s="74">
        <f t="shared" si="163"/>
        <v>215</v>
      </c>
      <c r="AD91" s="74">
        <f t="shared" si="163"/>
        <v>178</v>
      </c>
      <c r="AE91" s="74">
        <f t="shared" si="163"/>
        <v>178</v>
      </c>
      <c r="AF91" s="74">
        <f t="shared" si="163"/>
        <v>157</v>
      </c>
      <c r="AG91" s="74">
        <f t="shared" si="163"/>
        <v>157</v>
      </c>
      <c r="AH91" s="74">
        <f t="shared" si="163"/>
        <v>132</v>
      </c>
      <c r="AI91" s="74">
        <f t="shared" si="163"/>
        <v>132</v>
      </c>
      <c r="AJ91" s="74">
        <f t="shared" si="163"/>
        <v>118</v>
      </c>
      <c r="AK91" s="72" cm="1">
        <f t="array" ref="AK91">AVERAGE(IF(AK3:AK54&lt;&gt;0, AK3:AK54))</f>
        <v>0.38252747252747249</v>
      </c>
    </row>
    <row r="92" spans="1:37">
      <c r="E92" s="256">
        <f>F91/E91</f>
        <v>1</v>
      </c>
      <c r="F92" s="256"/>
      <c r="G92" s="256">
        <f>H91/G91</f>
        <v>1</v>
      </c>
      <c r="H92" s="256"/>
      <c r="I92" s="256">
        <f>J91/I91</f>
        <v>0.95104895104895104</v>
      </c>
      <c r="J92" s="256"/>
      <c r="K92" s="256">
        <f>L91/K91</f>
        <v>1</v>
      </c>
      <c r="L92" s="256"/>
      <c r="M92" s="256">
        <f>N91/M91</f>
        <v>1</v>
      </c>
      <c r="N92" s="256"/>
      <c r="O92" s="256">
        <f>P91/O91</f>
        <v>0.99754901960784315</v>
      </c>
      <c r="P92" s="256"/>
      <c r="Q92" s="256">
        <f>R91/Q91</f>
        <v>1</v>
      </c>
      <c r="R92" s="256"/>
      <c r="S92" s="254">
        <f>T91/S91</f>
        <v>0.99262899262899262</v>
      </c>
      <c r="T92" s="255"/>
      <c r="U92" s="254">
        <f>V91/U91</f>
        <v>0.97943444730077123</v>
      </c>
      <c r="V92" s="255"/>
      <c r="W92" s="254">
        <f>X91/W91</f>
        <v>0.70866141732283461</v>
      </c>
      <c r="X92" s="255"/>
      <c r="Y92" s="254">
        <f>Z91/Y91</f>
        <v>0.83703703703703702</v>
      </c>
      <c r="Z92" s="255"/>
      <c r="AA92" s="254">
        <f>AB91/AA91</f>
        <v>0.95132743362831862</v>
      </c>
      <c r="AB92" s="255"/>
      <c r="AC92" s="254">
        <f>AD91/AC91</f>
        <v>0.82790697674418601</v>
      </c>
      <c r="AD92" s="255"/>
      <c r="AE92" s="254">
        <f>AF91/AE91</f>
        <v>0.8820224719101124</v>
      </c>
      <c r="AF92" s="255"/>
      <c r="AG92" s="254">
        <f>AH91/AG91</f>
        <v>0.84076433121019112</v>
      </c>
      <c r="AH92" s="255"/>
      <c r="AI92" s="254">
        <f>AJ91/AI91</f>
        <v>0.89393939393939392</v>
      </c>
      <c r="AJ92" s="255"/>
    </row>
  </sheetData>
  <mergeCells count="1154">
    <mergeCell ref="AG90:AH90"/>
    <mergeCell ref="AI90:AJ90"/>
    <mergeCell ref="E84:F84"/>
    <mergeCell ref="AG87:AH87"/>
    <mergeCell ref="AI87:AJ87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I88:AJ88"/>
    <mergeCell ref="AA84:AB84"/>
    <mergeCell ref="AC84:AD84"/>
    <mergeCell ref="AE84:AF84"/>
    <mergeCell ref="AG84:AH84"/>
    <mergeCell ref="AI84:AJ84"/>
    <mergeCell ref="E86:F86"/>
    <mergeCell ref="G86:H86"/>
    <mergeCell ref="I86:J86"/>
    <mergeCell ref="K86:L86"/>
    <mergeCell ref="M86:N86"/>
    <mergeCell ref="O86:P86"/>
    <mergeCell ref="A87:A90"/>
    <mergeCell ref="B87:B90"/>
    <mergeCell ref="C87:C90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G82:AH82"/>
    <mergeCell ref="AI82:AJ82"/>
    <mergeCell ref="A83:A86"/>
    <mergeCell ref="B83:B86"/>
    <mergeCell ref="C83:C86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I83:AJ83"/>
    <mergeCell ref="G84:H84"/>
    <mergeCell ref="M84:N84"/>
    <mergeCell ref="O84:P84"/>
    <mergeCell ref="Q84:R84"/>
    <mergeCell ref="S84:T84"/>
    <mergeCell ref="U84:V84"/>
    <mergeCell ref="W84:X84"/>
    <mergeCell ref="Y84:Z84"/>
    <mergeCell ref="AG79:AH79"/>
    <mergeCell ref="AI79:AJ79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I80:AJ80"/>
    <mergeCell ref="A79:A82"/>
    <mergeCell ref="B79:B82"/>
    <mergeCell ref="C79:C82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I78:AJ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I75:AJ75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I76:AJ76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75:A78"/>
    <mergeCell ref="B75:B78"/>
    <mergeCell ref="C75:C78"/>
    <mergeCell ref="E75:F75"/>
    <mergeCell ref="G75:H75"/>
    <mergeCell ref="I75:J75"/>
    <mergeCell ref="K75:L75"/>
    <mergeCell ref="M75:N75"/>
    <mergeCell ref="O75:P75"/>
    <mergeCell ref="E78:F78"/>
    <mergeCell ref="G78:H78"/>
    <mergeCell ref="I78:J78"/>
    <mergeCell ref="K78:L78"/>
    <mergeCell ref="M78:N78"/>
    <mergeCell ref="O78:P78"/>
    <mergeCell ref="AG59:AH59"/>
    <mergeCell ref="AI59:AJ59"/>
    <mergeCell ref="AE60:AF60"/>
    <mergeCell ref="AG60:AH60"/>
    <mergeCell ref="E60:F60"/>
    <mergeCell ref="G60:H60"/>
    <mergeCell ref="I60:J60"/>
    <mergeCell ref="K60:L60"/>
    <mergeCell ref="Q58:R58"/>
    <mergeCell ref="S58:T58"/>
    <mergeCell ref="U58:V58"/>
    <mergeCell ref="W58:X58"/>
    <mergeCell ref="Y58:Z58"/>
    <mergeCell ref="W60:X60"/>
    <mergeCell ref="AI60:AJ60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I62:AJ62"/>
    <mergeCell ref="M60:N60"/>
    <mergeCell ref="A59:A62"/>
    <mergeCell ref="B59:B62"/>
    <mergeCell ref="C59:C62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O60:P60"/>
    <mergeCell ref="Q60:R60"/>
    <mergeCell ref="S60:T60"/>
    <mergeCell ref="U60:V60"/>
    <mergeCell ref="AA60:AB60"/>
    <mergeCell ref="AC60:AD60"/>
    <mergeCell ref="Y60:Z60"/>
    <mergeCell ref="A55:A58"/>
    <mergeCell ref="B55:B58"/>
    <mergeCell ref="C55:C58"/>
    <mergeCell ref="E55:F55"/>
    <mergeCell ref="G55:H55"/>
    <mergeCell ref="I55:J55"/>
    <mergeCell ref="K55:L55"/>
    <mergeCell ref="M55:N55"/>
    <mergeCell ref="O55:P55"/>
    <mergeCell ref="E58:F58"/>
    <mergeCell ref="G58:H58"/>
    <mergeCell ref="I58:J58"/>
    <mergeCell ref="K58:L58"/>
    <mergeCell ref="M58:N58"/>
    <mergeCell ref="O58:P58"/>
    <mergeCell ref="AA58:AB58"/>
    <mergeCell ref="AC58:AD58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Q55:R55"/>
    <mergeCell ref="S55:T55"/>
    <mergeCell ref="AE58:AF58"/>
    <mergeCell ref="AG58:AH58"/>
    <mergeCell ref="AI54:AJ54"/>
    <mergeCell ref="M52:N52"/>
    <mergeCell ref="O52:P52"/>
    <mergeCell ref="Q52:R52"/>
    <mergeCell ref="S52:T52"/>
    <mergeCell ref="U52:V52"/>
    <mergeCell ref="AA52:AB52"/>
    <mergeCell ref="AC52:AD52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5:AJ55"/>
    <mergeCell ref="AE56:AF56"/>
    <mergeCell ref="AG56:AH56"/>
    <mergeCell ref="AI56:AJ56"/>
    <mergeCell ref="U55:V55"/>
    <mergeCell ref="W55:X55"/>
    <mergeCell ref="Y55:Z55"/>
    <mergeCell ref="AA55:AB55"/>
    <mergeCell ref="AC55:AD55"/>
    <mergeCell ref="AE55:AF55"/>
    <mergeCell ref="AG55:AH55"/>
    <mergeCell ref="AI58:AJ58"/>
    <mergeCell ref="W52:X52"/>
    <mergeCell ref="A51:A54"/>
    <mergeCell ref="B51:B54"/>
    <mergeCell ref="C51:C54"/>
    <mergeCell ref="E51:F51"/>
    <mergeCell ref="G51:H51"/>
    <mergeCell ref="I51:J51"/>
    <mergeCell ref="K51:L51"/>
    <mergeCell ref="M51:N51"/>
    <mergeCell ref="O51:P51"/>
    <mergeCell ref="E52:F52"/>
    <mergeCell ref="G52:H52"/>
    <mergeCell ref="E54:F54"/>
    <mergeCell ref="G54:H54"/>
    <mergeCell ref="I54:J54"/>
    <mergeCell ref="K54:L54"/>
    <mergeCell ref="M54:N54"/>
    <mergeCell ref="O54:P54"/>
    <mergeCell ref="K52:L52"/>
    <mergeCell ref="Y52:Z52"/>
    <mergeCell ref="AI50:AJ50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E52:AF52"/>
    <mergeCell ref="AG52:AH52"/>
    <mergeCell ref="AI52:AJ52"/>
    <mergeCell ref="AE50:AF50"/>
    <mergeCell ref="AG50:AH50"/>
    <mergeCell ref="AI47:AJ47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7:A50"/>
    <mergeCell ref="B47:B50"/>
    <mergeCell ref="C47:C50"/>
    <mergeCell ref="E47:F47"/>
    <mergeCell ref="G47:H47"/>
    <mergeCell ref="I47:J47"/>
    <mergeCell ref="K47:L47"/>
    <mergeCell ref="M47:N47"/>
    <mergeCell ref="O47:P47"/>
    <mergeCell ref="E50:F50"/>
    <mergeCell ref="G50:H50"/>
    <mergeCell ref="I50:J50"/>
    <mergeCell ref="K50:L50"/>
    <mergeCell ref="M50:N50"/>
    <mergeCell ref="O50:P50"/>
    <mergeCell ref="AA50:AB50"/>
    <mergeCell ref="AC50:AD50"/>
    <mergeCell ref="Q50:R50"/>
    <mergeCell ref="S50:T50"/>
    <mergeCell ref="U50:V50"/>
    <mergeCell ref="W50:X50"/>
    <mergeCell ref="Y50:Z50"/>
    <mergeCell ref="G31:H31"/>
    <mergeCell ref="G32:H32"/>
    <mergeCell ref="I31:J31"/>
    <mergeCell ref="I32:J32"/>
    <mergeCell ref="K31:L31"/>
    <mergeCell ref="K32:L32"/>
    <mergeCell ref="G18:H18"/>
    <mergeCell ref="I14:J14"/>
    <mergeCell ref="G14:H14"/>
    <mergeCell ref="G22:H22"/>
    <mergeCell ref="G10:H10"/>
    <mergeCell ref="G6:H6"/>
    <mergeCell ref="I6:J6"/>
    <mergeCell ref="I19:J19"/>
    <mergeCell ref="G19:H19"/>
    <mergeCell ref="G20:H20"/>
    <mergeCell ref="G15:H15"/>
    <mergeCell ref="G16:H16"/>
    <mergeCell ref="K18:L18"/>
    <mergeCell ref="K20:L20"/>
    <mergeCell ref="K22:L22"/>
    <mergeCell ref="K6:L6"/>
    <mergeCell ref="I26:J26"/>
    <mergeCell ref="I7:J7"/>
    <mergeCell ref="K7:L7"/>
    <mergeCell ref="K11:L11"/>
    <mergeCell ref="I11:J11"/>
    <mergeCell ref="I12:J12"/>
    <mergeCell ref="K12:L12"/>
    <mergeCell ref="I15:J15"/>
    <mergeCell ref="I16:J16"/>
    <mergeCell ref="K16:L16"/>
    <mergeCell ref="G92:H92"/>
    <mergeCell ref="K40:L40"/>
    <mergeCell ref="K42:L42"/>
    <mergeCell ref="I42:J42"/>
    <mergeCell ref="I39:J39"/>
    <mergeCell ref="I40:J40"/>
    <mergeCell ref="K39:L39"/>
    <mergeCell ref="K38:L38"/>
    <mergeCell ref="I38:J38"/>
    <mergeCell ref="I36:J36"/>
    <mergeCell ref="I35:J35"/>
    <mergeCell ref="K35:L35"/>
    <mergeCell ref="K36:L36"/>
    <mergeCell ref="K43:L43"/>
    <mergeCell ref="I43:J43"/>
    <mergeCell ref="I44:J44"/>
    <mergeCell ref="I52:J52"/>
    <mergeCell ref="K70:L70"/>
    <mergeCell ref="I68:J68"/>
    <mergeCell ref="K68:L68"/>
    <mergeCell ref="I84:J84"/>
    <mergeCell ref="K84:L84"/>
    <mergeCell ref="E2:F2"/>
    <mergeCell ref="M2:N2"/>
    <mergeCell ref="O2:P2"/>
    <mergeCell ref="Q2:R2"/>
    <mergeCell ref="E4:F4"/>
    <mergeCell ref="M4:N4"/>
    <mergeCell ref="O4:P4"/>
    <mergeCell ref="Q4:R4"/>
    <mergeCell ref="G2:H2"/>
    <mergeCell ref="I2:J2"/>
    <mergeCell ref="K2:L2"/>
    <mergeCell ref="G3:H3"/>
    <mergeCell ref="G4:H4"/>
    <mergeCell ref="I3:J3"/>
    <mergeCell ref="K3:L3"/>
    <mergeCell ref="I4:J4"/>
    <mergeCell ref="K4:L4"/>
    <mergeCell ref="O3:P3"/>
    <mergeCell ref="Q3:R3"/>
    <mergeCell ref="AG2:AH2"/>
    <mergeCell ref="AI2:AJ2"/>
    <mergeCell ref="AA3:AB3"/>
    <mergeCell ref="AC3:AD3"/>
    <mergeCell ref="AE3:AF3"/>
    <mergeCell ref="AG3:AH3"/>
    <mergeCell ref="AA2:AB2"/>
    <mergeCell ref="AC2:AD2"/>
    <mergeCell ref="AE2:AF2"/>
    <mergeCell ref="AI3:AJ3"/>
    <mergeCell ref="AI6:AJ6"/>
    <mergeCell ref="AG6:AH6"/>
    <mergeCell ref="AE6:AF6"/>
    <mergeCell ref="AE4:AF4"/>
    <mergeCell ref="AG4:AH4"/>
    <mergeCell ref="AI4:AJ4"/>
    <mergeCell ref="A7:A10"/>
    <mergeCell ref="B7:B10"/>
    <mergeCell ref="C7:C10"/>
    <mergeCell ref="E8:F8"/>
    <mergeCell ref="A3:A6"/>
    <mergeCell ref="B3:B6"/>
    <mergeCell ref="C3:C6"/>
    <mergeCell ref="E6:F6"/>
    <mergeCell ref="M6:N6"/>
    <mergeCell ref="O6:P6"/>
    <mergeCell ref="Q6:R6"/>
    <mergeCell ref="M8:N8"/>
    <mergeCell ref="E3:F3"/>
    <mergeCell ref="M3:N3"/>
    <mergeCell ref="G7:H7"/>
    <mergeCell ref="G8:H8"/>
    <mergeCell ref="E7:F7"/>
    <mergeCell ref="M7:N7"/>
    <mergeCell ref="O7:P7"/>
    <mergeCell ref="Q7:R7"/>
    <mergeCell ref="W7:X7"/>
    <mergeCell ref="Y7:Z7"/>
    <mergeCell ref="S7:T7"/>
    <mergeCell ref="U7:V7"/>
    <mergeCell ref="Y6:Z6"/>
    <mergeCell ref="W6:X6"/>
    <mergeCell ref="AI8:AJ8"/>
    <mergeCell ref="AG8:AH8"/>
    <mergeCell ref="AE10:AF10"/>
    <mergeCell ref="AG10:AH10"/>
    <mergeCell ref="AE8:AF8"/>
    <mergeCell ref="AC8:AD8"/>
    <mergeCell ref="AC7:AD7"/>
    <mergeCell ref="AE7:AF7"/>
    <mergeCell ref="AG7:AH7"/>
    <mergeCell ref="AI7:AJ7"/>
    <mergeCell ref="AI10:AJ10"/>
    <mergeCell ref="Q10:R10"/>
    <mergeCell ref="K10:L10"/>
    <mergeCell ref="I10:J10"/>
    <mergeCell ref="AC10:AD10"/>
    <mergeCell ref="AA10:AB10"/>
    <mergeCell ref="Y10:Z10"/>
    <mergeCell ref="S6:T6"/>
    <mergeCell ref="AC6:AD6"/>
    <mergeCell ref="AA6:AB6"/>
    <mergeCell ref="E11:F11"/>
    <mergeCell ref="M11:N11"/>
    <mergeCell ref="O11:P11"/>
    <mergeCell ref="Q11:R11"/>
    <mergeCell ref="G11:H11"/>
    <mergeCell ref="G12:H12"/>
    <mergeCell ref="E14:F14"/>
    <mergeCell ref="M14:N14"/>
    <mergeCell ref="O14:P14"/>
    <mergeCell ref="A11:A14"/>
    <mergeCell ref="B11:B14"/>
    <mergeCell ref="C11:C14"/>
    <mergeCell ref="U14:V14"/>
    <mergeCell ref="Q14:R14"/>
    <mergeCell ref="S14:T14"/>
    <mergeCell ref="K14:L14"/>
    <mergeCell ref="I8:J8"/>
    <mergeCell ref="K8:L8"/>
    <mergeCell ref="AC16:AD16"/>
    <mergeCell ref="AE12:AF12"/>
    <mergeCell ref="E16:F16"/>
    <mergeCell ref="M16:N16"/>
    <mergeCell ref="O16:P16"/>
    <mergeCell ref="Q16:R16"/>
    <mergeCell ref="O15:P15"/>
    <mergeCell ref="Q15:R15"/>
    <mergeCell ref="AG15:AH15"/>
    <mergeCell ref="AI15:AJ15"/>
    <mergeCell ref="A15:A18"/>
    <mergeCell ref="B15:B18"/>
    <mergeCell ref="C15:C18"/>
    <mergeCell ref="E15:F15"/>
    <mergeCell ref="M15:N15"/>
    <mergeCell ref="AG18:AH18"/>
    <mergeCell ref="AI18:AJ18"/>
    <mergeCell ref="W18:X18"/>
    <mergeCell ref="Y18:Z18"/>
    <mergeCell ref="AA18:AB18"/>
    <mergeCell ref="AC18:AD18"/>
    <mergeCell ref="AE18:AF18"/>
    <mergeCell ref="E18:F18"/>
    <mergeCell ref="M18:N18"/>
    <mergeCell ref="O18:P18"/>
    <mergeCell ref="Q18:R18"/>
    <mergeCell ref="I18:J18"/>
    <mergeCell ref="K15:L15"/>
    <mergeCell ref="E12:F12"/>
    <mergeCell ref="M12:N12"/>
    <mergeCell ref="O12:P12"/>
    <mergeCell ref="Q12:R12"/>
    <mergeCell ref="AG12:AH12"/>
    <mergeCell ref="W19:X19"/>
    <mergeCell ref="Y19:Z19"/>
    <mergeCell ref="AA19:AB19"/>
    <mergeCell ref="AC19:AD19"/>
    <mergeCell ref="AE19:AF19"/>
    <mergeCell ref="AG19:AH19"/>
    <mergeCell ref="AI12:AJ12"/>
    <mergeCell ref="AI11:AJ11"/>
    <mergeCell ref="AG11:AH11"/>
    <mergeCell ref="AE11:AF11"/>
    <mergeCell ref="U11:V11"/>
    <mergeCell ref="S11:T11"/>
    <mergeCell ref="AG16:AH16"/>
    <mergeCell ref="AI16:AJ16"/>
    <mergeCell ref="W16:X16"/>
    <mergeCell ref="U16:V16"/>
    <mergeCell ref="S16:T16"/>
    <mergeCell ref="AG14:AH14"/>
    <mergeCell ref="AI14:AJ14"/>
    <mergeCell ref="W14:X14"/>
    <mergeCell ref="Y14:Z14"/>
    <mergeCell ref="AA14:AB14"/>
    <mergeCell ref="AC14:AD14"/>
    <mergeCell ref="AE14:AF14"/>
    <mergeCell ref="AE16:AF16"/>
    <mergeCell ref="AI19:AJ19"/>
    <mergeCell ref="S18:T18"/>
    <mergeCell ref="U18:V18"/>
    <mergeCell ref="Y11:Z11"/>
    <mergeCell ref="Y16:Z16"/>
    <mergeCell ref="AA16:AB16"/>
    <mergeCell ref="E1:AA1"/>
    <mergeCell ref="AA11:AB11"/>
    <mergeCell ref="W12:X12"/>
    <mergeCell ref="Y12:Z12"/>
    <mergeCell ref="AA12:AB12"/>
    <mergeCell ref="AC12:AD12"/>
    <mergeCell ref="W11:X11"/>
    <mergeCell ref="AC11:AD11"/>
    <mergeCell ref="O8:P8"/>
    <mergeCell ref="Q8:R8"/>
    <mergeCell ref="S8:T8"/>
    <mergeCell ref="U8:V8"/>
    <mergeCell ref="W8:X8"/>
    <mergeCell ref="E10:F10"/>
    <mergeCell ref="M10:N10"/>
    <mergeCell ref="O10:P10"/>
    <mergeCell ref="Y3:Z3"/>
    <mergeCell ref="Y2:Z2"/>
    <mergeCell ref="W2:X2"/>
    <mergeCell ref="Y4:Z4"/>
    <mergeCell ref="U2:V2"/>
    <mergeCell ref="S3:T3"/>
    <mergeCell ref="S2:T2"/>
    <mergeCell ref="U4:V4"/>
    <mergeCell ref="W3:X3"/>
    <mergeCell ref="U3:V3"/>
    <mergeCell ref="AA7:AB7"/>
    <mergeCell ref="AC4:AD4"/>
    <mergeCell ref="AA4:AB4"/>
    <mergeCell ref="U6:V6"/>
    <mergeCell ref="S4:T4"/>
    <mergeCell ref="W4:X4"/>
    <mergeCell ref="E20:F20"/>
    <mergeCell ref="M20:N20"/>
    <mergeCell ref="O20:P20"/>
    <mergeCell ref="Q20:R20"/>
    <mergeCell ref="S20:T20"/>
    <mergeCell ref="U20:V20"/>
    <mergeCell ref="A19:A22"/>
    <mergeCell ref="B19:B22"/>
    <mergeCell ref="C19:C22"/>
    <mergeCell ref="E19:F19"/>
    <mergeCell ref="M19:N19"/>
    <mergeCell ref="O19:P19"/>
    <mergeCell ref="Q19:R19"/>
    <mergeCell ref="S19:T19"/>
    <mergeCell ref="U19:V19"/>
    <mergeCell ref="K19:L19"/>
    <mergeCell ref="I20:J20"/>
    <mergeCell ref="I22:J22"/>
    <mergeCell ref="E22:F22"/>
    <mergeCell ref="M22:N22"/>
    <mergeCell ref="O22:P22"/>
    <mergeCell ref="Q22:R22"/>
    <mergeCell ref="S22:T22"/>
    <mergeCell ref="U22:V22"/>
    <mergeCell ref="A23:A26"/>
    <mergeCell ref="B23:B26"/>
    <mergeCell ref="C23:C26"/>
    <mergeCell ref="E23:F23"/>
    <mergeCell ref="M23:N23"/>
    <mergeCell ref="O23:P23"/>
    <mergeCell ref="Q23:R23"/>
    <mergeCell ref="S23:T23"/>
    <mergeCell ref="U23:V23"/>
    <mergeCell ref="E24:F24"/>
    <mergeCell ref="M24:N24"/>
    <mergeCell ref="O24:P24"/>
    <mergeCell ref="K26:L26"/>
    <mergeCell ref="G23:H23"/>
    <mergeCell ref="G26:H26"/>
    <mergeCell ref="U26:V26"/>
    <mergeCell ref="W22:X22"/>
    <mergeCell ref="I24:J24"/>
    <mergeCell ref="K23:L23"/>
    <mergeCell ref="I23:J23"/>
    <mergeCell ref="Y22:Z22"/>
    <mergeCell ref="AA22:AB22"/>
    <mergeCell ref="Q24:R24"/>
    <mergeCell ref="S24:T24"/>
    <mergeCell ref="U24:V24"/>
    <mergeCell ref="W24:X24"/>
    <mergeCell ref="Y24:Z24"/>
    <mergeCell ref="W23:X23"/>
    <mergeCell ref="Y23:Z23"/>
    <mergeCell ref="W26:X26"/>
    <mergeCell ref="Y26:Z26"/>
    <mergeCell ref="AA26:AB26"/>
    <mergeCell ref="G24:H24"/>
    <mergeCell ref="Q26:R26"/>
    <mergeCell ref="S26:T26"/>
    <mergeCell ref="AA23:AB23"/>
    <mergeCell ref="AA24:AB24"/>
    <mergeCell ref="AC26:AD26"/>
    <mergeCell ref="AC23:AD23"/>
    <mergeCell ref="AE26:AF26"/>
    <mergeCell ref="AG26:AH26"/>
    <mergeCell ref="AI26:AJ26"/>
    <mergeCell ref="K28:L28"/>
    <mergeCell ref="A27:A30"/>
    <mergeCell ref="B27:B30"/>
    <mergeCell ref="C27:C30"/>
    <mergeCell ref="E27:F27"/>
    <mergeCell ref="M27:N27"/>
    <mergeCell ref="O27:P27"/>
    <mergeCell ref="Q27:R27"/>
    <mergeCell ref="S27:T27"/>
    <mergeCell ref="E30:F30"/>
    <mergeCell ref="M30:N30"/>
    <mergeCell ref="O30:P30"/>
    <mergeCell ref="Q30:R30"/>
    <mergeCell ref="S30:T30"/>
    <mergeCell ref="E28:F28"/>
    <mergeCell ref="I27:J27"/>
    <mergeCell ref="K27:L27"/>
    <mergeCell ref="E26:F26"/>
    <mergeCell ref="M26:N26"/>
    <mergeCell ref="O26:P26"/>
    <mergeCell ref="AC28:AD28"/>
    <mergeCell ref="AE28:AF28"/>
    <mergeCell ref="G30:H30"/>
    <mergeCell ref="AG28:AH28"/>
    <mergeCell ref="AI28:AJ28"/>
    <mergeCell ref="W27:X27"/>
    <mergeCell ref="Y27:Z27"/>
    <mergeCell ref="AA27:AB27"/>
    <mergeCell ref="AC27:AD27"/>
    <mergeCell ref="AE27:AF27"/>
    <mergeCell ref="M28:N28"/>
    <mergeCell ref="O28:P28"/>
    <mergeCell ref="Q28:R28"/>
    <mergeCell ref="S28:T28"/>
    <mergeCell ref="U28:V28"/>
    <mergeCell ref="W28:X28"/>
    <mergeCell ref="Y28:Z28"/>
    <mergeCell ref="AA28:AB28"/>
    <mergeCell ref="AG27:AH27"/>
    <mergeCell ref="AI27:AJ27"/>
    <mergeCell ref="U27:V27"/>
    <mergeCell ref="I28:J28"/>
    <mergeCell ref="G27:H27"/>
    <mergeCell ref="G28:H28"/>
    <mergeCell ref="AG30:AH30"/>
    <mergeCell ref="AI30:AJ30"/>
    <mergeCell ref="W31:X31"/>
    <mergeCell ref="Y31:Z31"/>
    <mergeCell ref="AA31:AB31"/>
    <mergeCell ref="AC31:AD31"/>
    <mergeCell ref="AE31:AF31"/>
    <mergeCell ref="AG31:AH31"/>
    <mergeCell ref="AI31:AJ31"/>
    <mergeCell ref="K30:L30"/>
    <mergeCell ref="I30:J30"/>
    <mergeCell ref="U30:V30"/>
    <mergeCell ref="A31:A34"/>
    <mergeCell ref="B31:B34"/>
    <mergeCell ref="C31:C34"/>
    <mergeCell ref="E31:F31"/>
    <mergeCell ref="M31:N31"/>
    <mergeCell ref="O31:P31"/>
    <mergeCell ref="Q31:R31"/>
    <mergeCell ref="S31:T31"/>
    <mergeCell ref="U31:V31"/>
    <mergeCell ref="I34:J34"/>
    <mergeCell ref="G34:H34"/>
    <mergeCell ref="E34:F34"/>
    <mergeCell ref="M34:N34"/>
    <mergeCell ref="O34:P34"/>
    <mergeCell ref="Q34:R34"/>
    <mergeCell ref="K34:L34"/>
    <mergeCell ref="E32:F32"/>
    <mergeCell ref="M32:N32"/>
    <mergeCell ref="O32:P32"/>
    <mergeCell ref="Q32:R32"/>
    <mergeCell ref="AC34:AD34"/>
    <mergeCell ref="AE34:AF34"/>
    <mergeCell ref="AG34:AH34"/>
    <mergeCell ref="AI34:AJ34"/>
    <mergeCell ref="S32:T32"/>
    <mergeCell ref="U32:V32"/>
    <mergeCell ref="W32:X32"/>
    <mergeCell ref="Y32:Z32"/>
    <mergeCell ref="AA32:AB32"/>
    <mergeCell ref="AG32:AH32"/>
    <mergeCell ref="AI32:AJ32"/>
    <mergeCell ref="S34:T34"/>
    <mergeCell ref="U34:V34"/>
    <mergeCell ref="W34:X34"/>
    <mergeCell ref="Y34:Z34"/>
    <mergeCell ref="AA34:AB34"/>
    <mergeCell ref="W35:X35"/>
    <mergeCell ref="Y35:Z35"/>
    <mergeCell ref="AA35:AB35"/>
    <mergeCell ref="AC35:AD35"/>
    <mergeCell ref="AE35:AF35"/>
    <mergeCell ref="AG35:AH35"/>
    <mergeCell ref="AI35:AJ35"/>
    <mergeCell ref="A35:A38"/>
    <mergeCell ref="B35:B38"/>
    <mergeCell ref="C35:C38"/>
    <mergeCell ref="E35:F35"/>
    <mergeCell ref="M35:N35"/>
    <mergeCell ref="O35:P35"/>
    <mergeCell ref="Q35:R35"/>
    <mergeCell ref="S35:T35"/>
    <mergeCell ref="U35:V35"/>
    <mergeCell ref="E38:F38"/>
    <mergeCell ref="M38:N38"/>
    <mergeCell ref="O38:P38"/>
    <mergeCell ref="Q38:R38"/>
    <mergeCell ref="S38:T38"/>
    <mergeCell ref="U38:V38"/>
    <mergeCell ref="AG38:AH38"/>
    <mergeCell ref="AI38:AJ38"/>
    <mergeCell ref="G35:H35"/>
    <mergeCell ref="AG39:AH39"/>
    <mergeCell ref="AI39:AJ39"/>
    <mergeCell ref="E40:F40"/>
    <mergeCell ref="M40:N40"/>
    <mergeCell ref="O40:P40"/>
    <mergeCell ref="Q40:R40"/>
    <mergeCell ref="E36:F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G38:H38"/>
    <mergeCell ref="G36:H36"/>
    <mergeCell ref="AA39:AB39"/>
    <mergeCell ref="AC39:AD39"/>
    <mergeCell ref="G39:H39"/>
    <mergeCell ref="G40:H40"/>
    <mergeCell ref="A39:A42"/>
    <mergeCell ref="B39:B42"/>
    <mergeCell ref="C39:C42"/>
    <mergeCell ref="E39:F39"/>
    <mergeCell ref="M39:N39"/>
    <mergeCell ref="O39:P39"/>
    <mergeCell ref="Q39:R39"/>
    <mergeCell ref="S39:T39"/>
    <mergeCell ref="U39:V39"/>
    <mergeCell ref="E42:F42"/>
    <mergeCell ref="M42:N42"/>
    <mergeCell ref="O42:P42"/>
    <mergeCell ref="Q42:R42"/>
    <mergeCell ref="W42:X42"/>
    <mergeCell ref="Y42:Z42"/>
    <mergeCell ref="AA42:AB42"/>
    <mergeCell ref="AC42:AD42"/>
    <mergeCell ref="G42:H42"/>
    <mergeCell ref="AE42:AF42"/>
    <mergeCell ref="AG42:AH42"/>
    <mergeCell ref="AI42:AJ42"/>
    <mergeCell ref="S40:T40"/>
    <mergeCell ref="U40:V40"/>
    <mergeCell ref="W40:X40"/>
    <mergeCell ref="Y40:Z40"/>
    <mergeCell ref="AA40:AB40"/>
    <mergeCell ref="AG40:AH40"/>
    <mergeCell ref="AI40:AJ40"/>
    <mergeCell ref="S42:T42"/>
    <mergeCell ref="U42:V42"/>
    <mergeCell ref="W43:X43"/>
    <mergeCell ref="Y43:Z43"/>
    <mergeCell ref="AA43:AB43"/>
    <mergeCell ref="AC43:AD43"/>
    <mergeCell ref="AE43:AF43"/>
    <mergeCell ref="AG43:AH43"/>
    <mergeCell ref="AI43:AJ43"/>
    <mergeCell ref="A43:A46"/>
    <mergeCell ref="B43:B46"/>
    <mergeCell ref="C43:C46"/>
    <mergeCell ref="E43:F43"/>
    <mergeCell ref="M43:N43"/>
    <mergeCell ref="O43:P43"/>
    <mergeCell ref="Q43:R43"/>
    <mergeCell ref="S43:T43"/>
    <mergeCell ref="U43:V43"/>
    <mergeCell ref="E46:F46"/>
    <mergeCell ref="M46:N46"/>
    <mergeCell ref="O46:P46"/>
    <mergeCell ref="Q46:R46"/>
    <mergeCell ref="S46:T46"/>
    <mergeCell ref="U46:V46"/>
    <mergeCell ref="K46:L46"/>
    <mergeCell ref="I46:J46"/>
    <mergeCell ref="G43:H43"/>
    <mergeCell ref="G44:H44"/>
    <mergeCell ref="G46:H46"/>
    <mergeCell ref="W46:X46"/>
    <mergeCell ref="Y46:Z46"/>
    <mergeCell ref="AA46:AB46"/>
    <mergeCell ref="AC46:AD46"/>
    <mergeCell ref="AE46:AF46"/>
    <mergeCell ref="AG46:AH46"/>
    <mergeCell ref="AI46:AJ46"/>
    <mergeCell ref="E44:F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K44:L44"/>
    <mergeCell ref="AC92:AD92"/>
    <mergeCell ref="AE92:AF92"/>
    <mergeCell ref="AG92:AH92"/>
    <mergeCell ref="AI92:AJ92"/>
    <mergeCell ref="E92:F92"/>
    <mergeCell ref="M92:N92"/>
    <mergeCell ref="O92:P92"/>
    <mergeCell ref="Q92:R92"/>
    <mergeCell ref="S92:T92"/>
    <mergeCell ref="U92:V92"/>
    <mergeCell ref="W92:X92"/>
    <mergeCell ref="Y92:Z92"/>
    <mergeCell ref="AA92:AB92"/>
    <mergeCell ref="I92:J92"/>
    <mergeCell ref="K92:L92"/>
    <mergeCell ref="AA8:AB8"/>
    <mergeCell ref="Y8:Z8"/>
    <mergeCell ref="U12:V12"/>
    <mergeCell ref="S12:T12"/>
    <mergeCell ref="W10:X10"/>
    <mergeCell ref="U10:V10"/>
    <mergeCell ref="S10:T10"/>
    <mergeCell ref="AE15:AF15"/>
    <mergeCell ref="AA15:AB15"/>
    <mergeCell ref="AC15:AD15"/>
    <mergeCell ref="Y15:Z15"/>
    <mergeCell ref="W15:X15"/>
    <mergeCell ref="U15:V15"/>
    <mergeCell ref="S15:T15"/>
    <mergeCell ref="AE23:AF23"/>
    <mergeCell ref="AG23:AH23"/>
    <mergeCell ref="AI23:AJ23"/>
    <mergeCell ref="AC22:AD22"/>
    <mergeCell ref="AE22:AF22"/>
    <mergeCell ref="AG22:AH22"/>
    <mergeCell ref="AG24:AH24"/>
    <mergeCell ref="AI24:AJ24"/>
    <mergeCell ref="AC24:AD24"/>
    <mergeCell ref="AE24:AF24"/>
    <mergeCell ref="AC20:AD20"/>
    <mergeCell ref="AE20:AF20"/>
    <mergeCell ref="AG20:AH20"/>
    <mergeCell ref="AI20:AJ20"/>
    <mergeCell ref="AI22:AJ22"/>
    <mergeCell ref="W20:X20"/>
    <mergeCell ref="AE40:AF40"/>
    <mergeCell ref="AC40:AD40"/>
    <mergeCell ref="AE38:AF38"/>
    <mergeCell ref="AC38:AD38"/>
    <mergeCell ref="AA38:AB38"/>
    <mergeCell ref="Y38:Z38"/>
    <mergeCell ref="W38:X38"/>
    <mergeCell ref="Y20:Z20"/>
    <mergeCell ref="AA20:AB20"/>
    <mergeCell ref="AE32:AF32"/>
    <mergeCell ref="AC32:AD32"/>
    <mergeCell ref="AE30:AF30"/>
    <mergeCell ref="AC30:AD30"/>
    <mergeCell ref="AA30:AB30"/>
    <mergeCell ref="Y30:Z30"/>
    <mergeCell ref="W30:X30"/>
    <mergeCell ref="W39:X39"/>
    <mergeCell ref="Y39:Z39"/>
    <mergeCell ref="AE39:AF39"/>
    <mergeCell ref="C63:C66"/>
    <mergeCell ref="E63:F63"/>
    <mergeCell ref="G63:H63"/>
    <mergeCell ref="I63:J63"/>
    <mergeCell ref="K63:L63"/>
    <mergeCell ref="M63:N63"/>
    <mergeCell ref="O63:P63"/>
    <mergeCell ref="E66:F66"/>
    <mergeCell ref="G66:H66"/>
    <mergeCell ref="I66:J66"/>
    <mergeCell ref="K66:L66"/>
    <mergeCell ref="M66:N66"/>
    <mergeCell ref="O66:P66"/>
    <mergeCell ref="AA66:AB66"/>
    <mergeCell ref="AC66:AD66"/>
    <mergeCell ref="AE66:AF66"/>
    <mergeCell ref="AG66:AH66"/>
    <mergeCell ref="Q66:R66"/>
    <mergeCell ref="S66:T66"/>
    <mergeCell ref="U66:V66"/>
    <mergeCell ref="W66:X66"/>
    <mergeCell ref="Y66:Z66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I64:AJ64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I66:AJ66"/>
    <mergeCell ref="A67:A70"/>
    <mergeCell ref="B67:B70"/>
    <mergeCell ref="C67:C70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E68:AF68"/>
    <mergeCell ref="AG68:AH68"/>
    <mergeCell ref="E68:F68"/>
    <mergeCell ref="A63:A66"/>
    <mergeCell ref="B63:B66"/>
    <mergeCell ref="G68:H68"/>
    <mergeCell ref="AI68:AJ68"/>
    <mergeCell ref="E70:F70"/>
    <mergeCell ref="G70:H70"/>
    <mergeCell ref="I70:J70"/>
    <mergeCell ref="AI63:AJ63"/>
    <mergeCell ref="E64:F64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I70:AJ70"/>
    <mergeCell ref="M68:N68"/>
    <mergeCell ref="O68:P68"/>
    <mergeCell ref="Q68:R68"/>
    <mergeCell ref="S68:T68"/>
    <mergeCell ref="U68:V68"/>
    <mergeCell ref="AA68:AB68"/>
    <mergeCell ref="AC68:AD68"/>
    <mergeCell ref="W68:X68"/>
    <mergeCell ref="Y68:Z68"/>
    <mergeCell ref="AA71:AB71"/>
    <mergeCell ref="AC71:AD71"/>
    <mergeCell ref="AE71:AF71"/>
    <mergeCell ref="AG71:AH71"/>
    <mergeCell ref="A71:A74"/>
    <mergeCell ref="B71:B74"/>
    <mergeCell ref="C71:C74"/>
    <mergeCell ref="E71:F71"/>
    <mergeCell ref="G71:H71"/>
    <mergeCell ref="I71:J71"/>
    <mergeCell ref="K71:L71"/>
    <mergeCell ref="M71:N71"/>
    <mergeCell ref="O71:P71"/>
    <mergeCell ref="E74:F74"/>
    <mergeCell ref="G74:H74"/>
    <mergeCell ref="I74:J74"/>
    <mergeCell ref="K74:L74"/>
    <mergeCell ref="M74:N74"/>
    <mergeCell ref="O74:P74"/>
    <mergeCell ref="AI74:AJ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I71:AJ71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I72:AJ72"/>
    <mergeCell ref="Q71:R71"/>
    <mergeCell ref="S71:T71"/>
    <mergeCell ref="U71:V71"/>
    <mergeCell ref="W71:X71"/>
    <mergeCell ref="Y71:Z71"/>
  </mergeCells>
  <conditionalFormatting sqref="E10:AH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AJ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AJ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AJ1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AJ2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AJ2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AJ3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:AJ3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AJ3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2:AJ4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AJ4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AJ5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:AJ5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:AJ5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AJ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2:AJ9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6:AJ6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0:AJ7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4:AJ7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8:AJ7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2:AJ8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6:AJ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0:AJ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455C-C55C-4FC3-8A98-FEF4D9E01DE9}">
  <dimension ref="A1:J91"/>
  <sheetViews>
    <sheetView workbookViewId="0">
      <pane ySplit="1" topLeftCell="A2" activePane="bottomLeft" state="frozen"/>
      <selection pane="bottomLeft" activeCell="F18" sqref="F18"/>
    </sheetView>
  </sheetViews>
  <sheetFormatPr defaultRowHeight="15"/>
  <cols>
    <col min="2" max="2" width="24.42578125" customWidth="1"/>
    <col min="9" max="9" width="11" customWidth="1"/>
    <col min="10" max="10" width="12.140625" customWidth="1"/>
  </cols>
  <sheetData>
    <row r="1" spans="1:10">
      <c r="A1" s="110" t="s">
        <v>59</v>
      </c>
      <c r="B1" s="111" t="s">
        <v>60</v>
      </c>
      <c r="C1" s="112" t="s">
        <v>61</v>
      </c>
      <c r="D1" s="112" t="s">
        <v>62</v>
      </c>
      <c r="E1" s="113" t="s">
        <v>0</v>
      </c>
      <c r="F1" s="113" t="s">
        <v>63</v>
      </c>
      <c r="G1" s="113" t="s">
        <v>64</v>
      </c>
      <c r="H1" s="111" t="s">
        <v>65</v>
      </c>
      <c r="I1" s="112" t="s">
        <v>66</v>
      </c>
      <c r="J1" s="114" t="s">
        <v>67</v>
      </c>
    </row>
    <row r="2" spans="1:10">
      <c r="A2" s="281" t="s">
        <v>68</v>
      </c>
      <c r="B2" s="115" t="s">
        <v>69</v>
      </c>
      <c r="C2" s="22">
        <f>COB!E23</f>
        <v>40</v>
      </c>
      <c r="D2" s="54">
        <f>COB!F23</f>
        <v>38</v>
      </c>
      <c r="E2" s="22">
        <f>C2-D2-F2</f>
        <v>2</v>
      </c>
      <c r="F2" s="84">
        <v>0</v>
      </c>
      <c r="G2" s="22"/>
      <c r="H2" s="84">
        <v>0</v>
      </c>
      <c r="I2" s="105">
        <f>(D2+E2-F2)/C2</f>
        <v>1</v>
      </c>
      <c r="J2" s="116">
        <f>(D2+E2-G2)/C2</f>
        <v>1</v>
      </c>
    </row>
    <row r="3" spans="1:10">
      <c r="A3" s="281"/>
      <c r="B3" s="99" t="s">
        <v>70</v>
      </c>
      <c r="C3" s="25">
        <f>COB!G23</f>
        <v>38</v>
      </c>
      <c r="D3" s="53">
        <f>COB!H23</f>
        <v>38</v>
      </c>
      <c r="E3" s="57">
        <f>C3-D3-F3</f>
        <v>0</v>
      </c>
      <c r="F3" s="84">
        <v>0</v>
      </c>
      <c r="G3" s="25"/>
      <c r="H3" s="95">
        <v>0</v>
      </c>
      <c r="I3" s="105">
        <f t="shared" ref="I3:I22" si="0">(D3+E3-F3)/C3</f>
        <v>1</v>
      </c>
      <c r="J3" s="116">
        <f t="shared" ref="J3:J24" si="1">(D3+E3-G3)/C3</f>
        <v>1</v>
      </c>
    </row>
    <row r="4" spans="1:10">
      <c r="A4" s="281"/>
      <c r="B4" s="99" t="s">
        <v>71</v>
      </c>
      <c r="C4" s="25">
        <f>COB!I23</f>
        <v>38</v>
      </c>
      <c r="D4" s="53">
        <f>COB!J23</f>
        <v>38</v>
      </c>
      <c r="E4" s="57">
        <f>C4-D4-F4</f>
        <v>0</v>
      </c>
      <c r="F4" s="84">
        <v>0</v>
      </c>
      <c r="G4" s="25"/>
      <c r="H4" s="95">
        <v>0</v>
      </c>
      <c r="I4" s="105">
        <f t="shared" si="0"/>
        <v>1</v>
      </c>
      <c r="J4" s="116">
        <f t="shared" si="1"/>
        <v>1</v>
      </c>
    </row>
    <row r="5" spans="1:10">
      <c r="A5" s="281"/>
      <c r="B5" s="99" t="s">
        <v>72</v>
      </c>
      <c r="C5" s="25">
        <f>COB!K23</f>
        <v>38</v>
      </c>
      <c r="D5" s="53">
        <f>COB!L23</f>
        <v>38</v>
      </c>
      <c r="E5" s="57">
        <f>C5-D5-F5</f>
        <v>0</v>
      </c>
      <c r="F5" s="84">
        <v>0</v>
      </c>
      <c r="G5" s="25"/>
      <c r="H5" s="95">
        <v>0</v>
      </c>
      <c r="I5" s="105">
        <f t="shared" si="0"/>
        <v>1</v>
      </c>
      <c r="J5" s="116">
        <f t="shared" si="1"/>
        <v>1</v>
      </c>
    </row>
    <row r="6" spans="1:10">
      <c r="A6" s="281"/>
      <c r="B6" s="99" t="s">
        <v>73</v>
      </c>
      <c r="C6" s="25">
        <f>COB!M23</f>
        <v>38</v>
      </c>
      <c r="D6" s="53">
        <f>COB!N23</f>
        <v>35</v>
      </c>
      <c r="E6" s="57">
        <f>C6-D6-F6</f>
        <v>3</v>
      </c>
      <c r="F6" s="84">
        <v>0</v>
      </c>
      <c r="G6" s="25"/>
      <c r="H6" s="95">
        <v>0</v>
      </c>
      <c r="I6" s="105">
        <f t="shared" si="0"/>
        <v>1</v>
      </c>
      <c r="J6" s="116">
        <f t="shared" si="1"/>
        <v>1</v>
      </c>
    </row>
    <row r="7" spans="1:10">
      <c r="A7" s="281"/>
      <c r="B7" s="99" t="s">
        <v>74</v>
      </c>
      <c r="C7" s="25">
        <f>COB!O23</f>
        <v>35</v>
      </c>
      <c r="D7" s="53">
        <f>COB!P23</f>
        <v>35</v>
      </c>
      <c r="E7" s="57">
        <v>2</v>
      </c>
      <c r="F7" s="84">
        <v>12</v>
      </c>
      <c r="G7" s="25"/>
      <c r="H7" s="95">
        <v>12</v>
      </c>
      <c r="I7" s="105">
        <f>(D7+E7-F7)/C7</f>
        <v>0.7142857142857143</v>
      </c>
      <c r="J7" s="116">
        <f t="shared" si="1"/>
        <v>1.0571428571428572</v>
      </c>
    </row>
    <row r="8" spans="1:10" ht="15" customHeight="1">
      <c r="A8" s="281"/>
      <c r="B8" s="106" t="s">
        <v>75</v>
      </c>
      <c r="C8" s="26">
        <f>COB!Q23</f>
        <v>35</v>
      </c>
      <c r="D8" s="78">
        <f>COB!R23</f>
        <v>35</v>
      </c>
      <c r="E8" s="57">
        <f>C8-D8-F8</f>
        <v>0</v>
      </c>
      <c r="F8" s="97">
        <v>0</v>
      </c>
      <c r="G8" s="26"/>
      <c r="H8" s="96">
        <v>0</v>
      </c>
      <c r="I8" s="105">
        <f t="shared" si="0"/>
        <v>1</v>
      </c>
      <c r="J8" s="116">
        <f t="shared" si="1"/>
        <v>1</v>
      </c>
    </row>
    <row r="9" spans="1:10">
      <c r="A9" s="281"/>
      <c r="B9" s="98" t="s">
        <v>76</v>
      </c>
      <c r="C9" s="57">
        <f>COB!S23</f>
        <v>35</v>
      </c>
      <c r="D9" s="83">
        <f>COB!T23</f>
        <v>32</v>
      </c>
      <c r="E9" s="57">
        <f>C9-D9-F9</f>
        <v>3</v>
      </c>
      <c r="F9" s="94">
        <v>0</v>
      </c>
      <c r="G9" s="57"/>
      <c r="H9" s="94">
        <v>0</v>
      </c>
      <c r="I9" s="105">
        <f t="shared" si="0"/>
        <v>1</v>
      </c>
      <c r="J9" s="116">
        <f t="shared" si="1"/>
        <v>1</v>
      </c>
    </row>
    <row r="10" spans="1:10">
      <c r="A10" s="281"/>
      <c r="B10" s="99" t="s">
        <v>77</v>
      </c>
      <c r="C10" s="25">
        <f>COB!U23</f>
        <v>32</v>
      </c>
      <c r="D10" s="53">
        <f>COB!V23</f>
        <v>26</v>
      </c>
      <c r="E10" s="57">
        <f>C10-D10-F10</f>
        <v>6</v>
      </c>
      <c r="F10" s="84">
        <v>0</v>
      </c>
      <c r="G10" s="25"/>
      <c r="H10" s="95">
        <v>0</v>
      </c>
      <c r="I10" s="105">
        <f t="shared" si="0"/>
        <v>1</v>
      </c>
      <c r="J10" s="116">
        <f t="shared" si="1"/>
        <v>1</v>
      </c>
    </row>
    <row r="11" spans="1:10">
      <c r="A11" s="281"/>
      <c r="B11" s="99" t="s">
        <v>78</v>
      </c>
      <c r="C11" s="25">
        <f>COB!W23</f>
        <v>26</v>
      </c>
      <c r="D11" s="53">
        <f>COB!X23</f>
        <v>26</v>
      </c>
      <c r="E11" s="57">
        <f>C11-D11-F11</f>
        <v>0</v>
      </c>
      <c r="F11" s="84">
        <v>0</v>
      </c>
      <c r="G11" s="25"/>
      <c r="H11" s="95">
        <v>0</v>
      </c>
      <c r="I11" s="105">
        <f t="shared" si="0"/>
        <v>1</v>
      </c>
      <c r="J11" s="116">
        <f t="shared" si="1"/>
        <v>1</v>
      </c>
    </row>
    <row r="12" spans="1:10">
      <c r="A12" s="281"/>
      <c r="B12" s="99" t="s">
        <v>79</v>
      </c>
      <c r="C12" s="25">
        <f>COB!Y23</f>
        <v>26</v>
      </c>
      <c r="D12" s="53">
        <f>COB!Z23</f>
        <v>26</v>
      </c>
      <c r="E12" s="57">
        <f>C12-D12-F12</f>
        <v>0</v>
      </c>
      <c r="F12" s="84">
        <v>0</v>
      </c>
      <c r="G12" s="25"/>
      <c r="H12" s="95">
        <v>0</v>
      </c>
      <c r="I12" s="105">
        <f t="shared" si="0"/>
        <v>1</v>
      </c>
      <c r="J12" s="116">
        <f t="shared" si="1"/>
        <v>1</v>
      </c>
    </row>
    <row r="13" spans="1:10">
      <c r="A13" s="281"/>
      <c r="B13" s="99" t="s">
        <v>80</v>
      </c>
      <c r="C13" s="25">
        <f>COB!AA23</f>
        <v>26</v>
      </c>
      <c r="D13" s="53">
        <f>COB!AB23</f>
        <v>26</v>
      </c>
      <c r="E13" s="57">
        <f>C13-D13-F13</f>
        <v>0</v>
      </c>
      <c r="F13" s="84">
        <v>0</v>
      </c>
      <c r="G13" s="25"/>
      <c r="H13" s="95">
        <v>0</v>
      </c>
      <c r="I13" s="105">
        <f t="shared" si="0"/>
        <v>1</v>
      </c>
      <c r="J13" s="116">
        <f t="shared" si="1"/>
        <v>1</v>
      </c>
    </row>
    <row r="14" spans="1:10">
      <c r="A14" s="281"/>
      <c r="B14" s="99" t="s">
        <v>81</v>
      </c>
      <c r="C14" s="25">
        <f>COB!AC23</f>
        <v>26</v>
      </c>
      <c r="D14" s="53">
        <f>COB!AD23</f>
        <v>26</v>
      </c>
      <c r="E14" s="57">
        <f>C14-D14-F14</f>
        <v>0</v>
      </c>
      <c r="F14" s="84">
        <v>0</v>
      </c>
      <c r="G14" s="25"/>
      <c r="H14" s="95">
        <v>0</v>
      </c>
      <c r="I14" s="105">
        <f t="shared" si="0"/>
        <v>1</v>
      </c>
      <c r="J14" s="116">
        <f t="shared" si="1"/>
        <v>1</v>
      </c>
    </row>
    <row r="15" spans="1:10">
      <c r="A15" s="281"/>
      <c r="B15" s="106" t="s">
        <v>82</v>
      </c>
      <c r="C15" s="26">
        <f>COB!AE23</f>
        <v>26</v>
      </c>
      <c r="D15" s="78">
        <f>COB!AF23</f>
        <v>26</v>
      </c>
      <c r="E15" s="57">
        <f>C15-D15-F15</f>
        <v>0</v>
      </c>
      <c r="F15" s="97">
        <v>0</v>
      </c>
      <c r="G15" s="26"/>
      <c r="H15" s="96">
        <v>0</v>
      </c>
      <c r="I15" s="105">
        <f t="shared" si="0"/>
        <v>1</v>
      </c>
      <c r="J15" s="116">
        <f t="shared" si="1"/>
        <v>1</v>
      </c>
    </row>
    <row r="16" spans="1:10">
      <c r="A16" s="281"/>
      <c r="B16" s="98" t="s">
        <v>83</v>
      </c>
      <c r="C16" s="57" t="e">
        <f>COB!#REF!</f>
        <v>#REF!</v>
      </c>
      <c r="D16" s="83" t="e">
        <f>COB!#REF!</f>
        <v>#REF!</v>
      </c>
      <c r="E16" s="57" t="e">
        <f>C16-D16-F16</f>
        <v>#REF!</v>
      </c>
      <c r="F16" s="94">
        <v>0</v>
      </c>
      <c r="G16" s="57"/>
      <c r="H16" s="94">
        <v>0</v>
      </c>
      <c r="I16" s="105" t="e">
        <f t="shared" si="0"/>
        <v>#REF!</v>
      </c>
      <c r="J16" s="116" t="e">
        <f t="shared" si="1"/>
        <v>#REF!</v>
      </c>
    </row>
    <row r="17" spans="1:10">
      <c r="A17" s="281"/>
      <c r="B17" s="99" t="s">
        <v>84</v>
      </c>
      <c r="C17" s="25" t="e">
        <f>COB!#REF!</f>
        <v>#REF!</v>
      </c>
      <c r="D17" s="53" t="e">
        <f>COB!#REF!</f>
        <v>#REF!</v>
      </c>
      <c r="E17" s="57" t="e">
        <f>C17-D17-F17</f>
        <v>#REF!</v>
      </c>
      <c r="F17" s="84">
        <v>0</v>
      </c>
      <c r="G17" s="25"/>
      <c r="H17" s="95">
        <v>0</v>
      </c>
      <c r="I17" s="105" t="e">
        <f t="shared" si="0"/>
        <v>#REF!</v>
      </c>
      <c r="J17" s="116" t="e">
        <f t="shared" si="1"/>
        <v>#REF!</v>
      </c>
    </row>
    <row r="18" spans="1:10">
      <c r="A18" s="281"/>
      <c r="B18" s="99" t="s">
        <v>85</v>
      </c>
      <c r="C18" s="25" t="e">
        <f>COB!#REF!</f>
        <v>#REF!</v>
      </c>
      <c r="D18" s="53" t="e">
        <f>COB!#REF!</f>
        <v>#REF!</v>
      </c>
      <c r="E18" s="57" t="e">
        <f>C18-D18-F18</f>
        <v>#REF!</v>
      </c>
      <c r="F18" s="84">
        <v>0</v>
      </c>
      <c r="G18" s="25"/>
      <c r="H18" s="95">
        <v>0</v>
      </c>
      <c r="I18" s="105" t="e">
        <f t="shared" si="0"/>
        <v>#REF!</v>
      </c>
      <c r="J18" s="116" t="e">
        <f t="shared" si="1"/>
        <v>#REF!</v>
      </c>
    </row>
    <row r="19" spans="1:10">
      <c r="A19" s="281"/>
      <c r="B19" s="99" t="s">
        <v>86</v>
      </c>
      <c r="C19" s="25" t="e">
        <f>COB!#REF!</f>
        <v>#REF!</v>
      </c>
      <c r="D19" s="53" t="e">
        <f>COB!#REF!</f>
        <v>#REF!</v>
      </c>
      <c r="E19" s="57" t="e">
        <f>C19-D19-F19</f>
        <v>#REF!</v>
      </c>
      <c r="F19" s="84">
        <v>0</v>
      </c>
      <c r="G19" s="25"/>
      <c r="H19" s="95">
        <v>0</v>
      </c>
      <c r="I19" s="105" t="e">
        <f t="shared" si="0"/>
        <v>#REF!</v>
      </c>
      <c r="J19" s="116" t="e">
        <f t="shared" si="1"/>
        <v>#REF!</v>
      </c>
    </row>
    <row r="20" spans="1:10">
      <c r="A20" s="281"/>
      <c r="B20" s="99" t="s">
        <v>87</v>
      </c>
      <c r="C20" s="25" t="e">
        <f>COB!#REF!</f>
        <v>#REF!</v>
      </c>
      <c r="D20" s="53" t="e">
        <f>COB!#REF!</f>
        <v>#REF!</v>
      </c>
      <c r="E20" s="57" t="e">
        <f>C20-D20-F20</f>
        <v>#REF!</v>
      </c>
      <c r="F20" s="95">
        <v>9</v>
      </c>
      <c r="G20" s="25"/>
      <c r="H20">
        <v>9</v>
      </c>
      <c r="I20" s="105" t="e">
        <f t="shared" si="0"/>
        <v>#REF!</v>
      </c>
      <c r="J20" s="116" t="e">
        <f t="shared" si="1"/>
        <v>#REF!</v>
      </c>
    </row>
    <row r="21" spans="1:10">
      <c r="A21" s="281"/>
      <c r="B21" s="99" t="s">
        <v>88</v>
      </c>
      <c r="C21" s="25" t="e">
        <f>COB!#REF!</f>
        <v>#REF!</v>
      </c>
      <c r="D21" s="53" t="e">
        <f>COB!#REF!</f>
        <v>#REF!</v>
      </c>
      <c r="E21" s="57" t="e">
        <f>C21-D21-F21</f>
        <v>#REF!</v>
      </c>
      <c r="F21" s="84">
        <v>0</v>
      </c>
      <c r="G21" s="25"/>
      <c r="H21" s="95">
        <v>0</v>
      </c>
      <c r="I21" s="105" t="e">
        <f t="shared" si="0"/>
        <v>#REF!</v>
      </c>
      <c r="J21" s="116" t="e">
        <f t="shared" si="1"/>
        <v>#REF!</v>
      </c>
    </row>
    <row r="22" spans="1:10" ht="15" customHeight="1">
      <c r="A22" s="281"/>
      <c r="B22" s="100" t="s">
        <v>89</v>
      </c>
      <c r="C22" s="101" t="e">
        <f>COB!#REF!</f>
        <v>#REF!</v>
      </c>
      <c r="D22" s="102" t="e">
        <f>COB!#REF!</f>
        <v>#REF!</v>
      </c>
      <c r="E22" s="57" t="e">
        <f>C22-D22-F22</f>
        <v>#REF!</v>
      </c>
      <c r="F22" s="103">
        <v>0</v>
      </c>
      <c r="G22" s="101"/>
      <c r="H22" s="104">
        <v>0</v>
      </c>
      <c r="I22" s="105" t="e">
        <f>(D22+E22-F22)/C22</f>
        <v>#REF!</v>
      </c>
      <c r="J22" s="116" t="e">
        <f t="shared" si="1"/>
        <v>#REF!</v>
      </c>
    </row>
    <row r="23" spans="1:10">
      <c r="A23" s="281"/>
      <c r="B23" s="107" t="s">
        <v>90</v>
      </c>
      <c r="C23" s="108" t="e">
        <f>SUM(C2:C22)</f>
        <v>#REF!</v>
      </c>
      <c r="D23" s="86" t="e">
        <f>SUM(D2:D22)</f>
        <v>#REF!</v>
      </c>
      <c r="E23" s="86" t="e">
        <f>SUM(E2:E22)</f>
        <v>#REF!</v>
      </c>
      <c r="F23" s="109">
        <f>SUM(F2:F22)</f>
        <v>21</v>
      </c>
      <c r="G23" s="88"/>
      <c r="H23" s="88">
        <f>SUM(H2:H22)</f>
        <v>21</v>
      </c>
      <c r="I23" s="105" t="e">
        <f>(D23+E23-F23)/C23</f>
        <v>#REF!</v>
      </c>
      <c r="J23" s="116" t="e">
        <f t="shared" si="1"/>
        <v>#REF!</v>
      </c>
    </row>
    <row r="24" spans="1:10">
      <c r="A24" s="89"/>
      <c r="B24" s="90" t="s">
        <v>91</v>
      </c>
      <c r="C24" s="85">
        <f>C2</f>
        <v>40</v>
      </c>
      <c r="D24" s="86" t="e">
        <f>D22</f>
        <v>#REF!</v>
      </c>
      <c r="E24" s="127" t="e">
        <f>SUM(E2:E22)</f>
        <v>#REF!</v>
      </c>
      <c r="F24" s="91">
        <f>SUM(F2:F22)</f>
        <v>21</v>
      </c>
      <c r="G24" s="87"/>
      <c r="H24" s="88">
        <f>SUM(H2:H22)</f>
        <v>21</v>
      </c>
      <c r="I24" s="105" t="e">
        <f>(D24+E24-F24)/C24</f>
        <v>#REF!</v>
      </c>
      <c r="J24" s="116" t="e">
        <f t="shared" si="1"/>
        <v>#REF!</v>
      </c>
    </row>
    <row r="25" spans="1:10" ht="17.25" customHeight="1">
      <c r="A25" s="284" t="s">
        <v>92</v>
      </c>
      <c r="B25" s="117" t="s">
        <v>43</v>
      </c>
      <c r="C25" s="119">
        <f>'AOC 400G WOs'!E91</f>
        <v>429</v>
      </c>
      <c r="D25" s="76">
        <f>'AOC 400G WOs'!F91</f>
        <v>429</v>
      </c>
      <c r="E25" s="25">
        <f>C25-D25-F25</f>
        <v>0</v>
      </c>
      <c r="F25" s="37"/>
      <c r="G25" s="37"/>
      <c r="H25" s="76">
        <v>0</v>
      </c>
      <c r="I25" s="120">
        <f>(D25+E25-F25)/C25</f>
        <v>1</v>
      </c>
      <c r="J25" s="120">
        <f>(D25+E25-G25)/C25</f>
        <v>1</v>
      </c>
    </row>
    <row r="26" spans="1:10" ht="17.25" customHeight="1">
      <c r="A26" s="285"/>
      <c r="B26" s="118" t="s">
        <v>44</v>
      </c>
      <c r="C26" s="25">
        <f>'AOC 400G WOs'!G91</f>
        <v>429</v>
      </c>
      <c r="D26" s="53">
        <f>'AOC 400G WOs'!H91</f>
        <v>429</v>
      </c>
      <c r="E26" s="25">
        <f>C26-D26-F26</f>
        <v>0</v>
      </c>
      <c r="F26" s="126"/>
      <c r="G26" s="25"/>
      <c r="H26" s="25"/>
      <c r="I26" s="120">
        <f>(D26+E26-F26)/C26</f>
        <v>1</v>
      </c>
      <c r="J26" s="120">
        <f>(D26+E26-G26)/C26</f>
        <v>1</v>
      </c>
    </row>
    <row r="27" spans="1:10" ht="18" customHeight="1">
      <c r="A27" s="285"/>
      <c r="B27" s="118" t="s">
        <v>45</v>
      </c>
      <c r="C27" s="25">
        <f>'AOC 400G WOs'!I91</f>
        <v>429</v>
      </c>
      <c r="D27" s="53">
        <f>'AOC 400G WOs'!J91</f>
        <v>408</v>
      </c>
      <c r="E27" s="25">
        <f>C27-D27-F27</f>
        <v>5</v>
      </c>
      <c r="F27" s="126">
        <v>16</v>
      </c>
      <c r="G27" s="25">
        <v>0</v>
      </c>
      <c r="H27" s="25">
        <v>16</v>
      </c>
      <c r="I27" s="120">
        <f>(D27+E27-F27)/C27</f>
        <v>0.92540792540792538</v>
      </c>
      <c r="J27" s="120">
        <f>(D27+E27-G27)/C27</f>
        <v>0.96270396270396275</v>
      </c>
    </row>
    <row r="28" spans="1:10" ht="16.5" customHeight="1">
      <c r="A28" s="285"/>
      <c r="B28" s="118" t="s">
        <v>46</v>
      </c>
      <c r="C28" s="25">
        <f>'AOC 400G WOs'!K91</f>
        <v>408</v>
      </c>
      <c r="D28" s="53">
        <f>'AOC 400G WOs'!L91</f>
        <v>408</v>
      </c>
      <c r="E28" s="25">
        <f t="shared" ref="E26:E40" si="2">C28-D28-F28</f>
        <v>0</v>
      </c>
      <c r="F28" s="126"/>
      <c r="G28" s="25"/>
      <c r="H28" s="25"/>
      <c r="I28" s="120">
        <f>(D28+E28-F28)/C28</f>
        <v>1</v>
      </c>
      <c r="J28" s="120">
        <f>(D28+E28-G28)/C28</f>
        <v>1</v>
      </c>
    </row>
    <row r="29" spans="1:10">
      <c r="A29" s="285"/>
      <c r="B29" s="1" t="s">
        <v>47</v>
      </c>
      <c r="C29" s="22">
        <f>'AOC 400G WOs'!M91</f>
        <v>408</v>
      </c>
      <c r="D29" s="54">
        <f>'AOC 400G WOs'!N91</f>
        <v>408</v>
      </c>
      <c r="E29" s="25">
        <f t="shared" si="2"/>
        <v>0</v>
      </c>
      <c r="F29" s="23"/>
      <c r="G29" s="23"/>
      <c r="H29" s="54">
        <v>0</v>
      </c>
      <c r="I29" s="105">
        <f t="shared" ref="I29:I45" si="3">(D29+E29-F29)/C29</f>
        <v>1</v>
      </c>
      <c r="J29" s="105">
        <f t="shared" ref="J29:J40" si="4">(D29+E29-G29)/C29</f>
        <v>1</v>
      </c>
    </row>
    <row r="30" spans="1:10">
      <c r="A30" s="285"/>
      <c r="B30" s="50" t="s">
        <v>48</v>
      </c>
      <c r="C30" s="25">
        <f>'AOC 400G WOs'!O91</f>
        <v>408</v>
      </c>
      <c r="D30" s="25">
        <f>'AOC 400G WOs'!P91</f>
        <v>407</v>
      </c>
      <c r="E30" s="25">
        <f t="shared" si="2"/>
        <v>1</v>
      </c>
      <c r="F30" s="23"/>
      <c r="G30" s="23"/>
      <c r="H30" s="54">
        <v>0</v>
      </c>
      <c r="I30" s="92">
        <f t="shared" si="3"/>
        <v>1</v>
      </c>
      <c r="J30" s="92">
        <f t="shared" si="4"/>
        <v>1</v>
      </c>
    </row>
    <row r="31" spans="1:10">
      <c r="A31" s="285"/>
      <c r="B31" s="50" t="s">
        <v>49</v>
      </c>
      <c r="C31" s="25">
        <f>'AOC 400G WOs'!Q91</f>
        <v>407</v>
      </c>
      <c r="D31" s="25">
        <f>'AOC 400G WOs'!R91</f>
        <v>407</v>
      </c>
      <c r="E31" s="25">
        <f t="shared" si="2"/>
        <v>0</v>
      </c>
      <c r="F31" s="23"/>
      <c r="G31" s="23"/>
      <c r="H31" s="54">
        <v>0</v>
      </c>
      <c r="I31" s="92">
        <f t="shared" si="3"/>
        <v>1</v>
      </c>
      <c r="J31" s="92">
        <f t="shared" si="4"/>
        <v>1</v>
      </c>
    </row>
    <row r="32" spans="1:10">
      <c r="A32" s="285"/>
      <c r="B32" s="50" t="s">
        <v>50</v>
      </c>
      <c r="C32" s="25">
        <f>'AOC 400G WOs'!S91</f>
        <v>407</v>
      </c>
      <c r="D32" s="25">
        <f>'AOC 400G WOs'!T91</f>
        <v>404</v>
      </c>
      <c r="E32" s="25">
        <f t="shared" si="2"/>
        <v>0</v>
      </c>
      <c r="F32" s="23">
        <v>3</v>
      </c>
      <c r="G32" s="23"/>
      <c r="H32" s="54">
        <v>3</v>
      </c>
      <c r="I32" s="92">
        <f t="shared" si="3"/>
        <v>0.98525798525798525</v>
      </c>
      <c r="J32" s="92">
        <f t="shared" si="4"/>
        <v>0.99262899262899262</v>
      </c>
    </row>
    <row r="33" spans="1:10">
      <c r="A33" s="285"/>
      <c r="B33" s="50" t="s">
        <v>51</v>
      </c>
      <c r="C33" s="22">
        <f>'AOC 400G WOs'!U91</f>
        <v>389</v>
      </c>
      <c r="D33" s="25">
        <f>'AOC 400G WOs'!V91</f>
        <v>381</v>
      </c>
      <c r="E33" s="25">
        <f t="shared" si="2"/>
        <v>8</v>
      </c>
      <c r="F33" s="23"/>
      <c r="G33" s="23"/>
      <c r="H33" s="54">
        <v>0</v>
      </c>
      <c r="I33" s="92">
        <f t="shared" si="3"/>
        <v>1</v>
      </c>
      <c r="J33" s="92">
        <f t="shared" si="4"/>
        <v>1</v>
      </c>
    </row>
    <row r="34" spans="1:10" ht="15" customHeight="1">
      <c r="A34" s="285"/>
      <c r="B34" s="51" t="s">
        <v>52</v>
      </c>
      <c r="C34" s="25">
        <f>'AOC 400G WOs'!W91</f>
        <v>381</v>
      </c>
      <c r="D34" s="26">
        <f>'AOC 400G WOs'!X91</f>
        <v>270</v>
      </c>
      <c r="E34" s="25">
        <f>C34-D34-F34</f>
        <v>51</v>
      </c>
      <c r="F34" s="23">
        <v>60</v>
      </c>
      <c r="G34" s="23"/>
      <c r="H34" s="54">
        <v>60</v>
      </c>
      <c r="I34" s="92">
        <f t="shared" si="3"/>
        <v>0.68503937007874016</v>
      </c>
      <c r="J34" s="92">
        <f t="shared" si="4"/>
        <v>0.84251968503937003</v>
      </c>
    </row>
    <row r="35" spans="1:10">
      <c r="A35" s="285"/>
      <c r="B35" s="51" t="s">
        <v>53</v>
      </c>
      <c r="C35" s="53">
        <f>'AOC 400G WOs'!Y91</f>
        <v>270</v>
      </c>
      <c r="D35" s="25">
        <f>'AOC 400G WOs'!Z91</f>
        <v>226</v>
      </c>
      <c r="E35" s="25">
        <f t="shared" si="2"/>
        <v>38</v>
      </c>
      <c r="F35" s="23">
        <v>6</v>
      </c>
      <c r="G35" s="23"/>
      <c r="H35" s="84">
        <v>0</v>
      </c>
      <c r="I35" s="92">
        <f t="shared" si="3"/>
        <v>0.9555555555555556</v>
      </c>
      <c r="J35" s="92">
        <f t="shared" si="4"/>
        <v>0.97777777777777775</v>
      </c>
    </row>
    <row r="36" spans="1:10" ht="15" customHeight="1">
      <c r="A36" s="285"/>
      <c r="B36" s="52" t="s">
        <v>54</v>
      </c>
      <c r="C36" s="53">
        <f>'AOC 400G WOs'!AA91</f>
        <v>226</v>
      </c>
      <c r="D36" s="25">
        <f>'AOC 400G WOs'!AB91</f>
        <v>215</v>
      </c>
      <c r="E36" s="25">
        <f t="shared" si="2"/>
        <v>5</v>
      </c>
      <c r="F36" s="23">
        <v>6</v>
      </c>
      <c r="G36" s="23"/>
      <c r="H36" s="84">
        <v>0</v>
      </c>
      <c r="I36" s="92">
        <f t="shared" si="3"/>
        <v>0.94690265486725667</v>
      </c>
      <c r="J36" s="92">
        <f t="shared" si="4"/>
        <v>0.97345132743362828</v>
      </c>
    </row>
    <row r="37" spans="1:10">
      <c r="A37" s="285"/>
      <c r="B37" s="50" t="s">
        <v>55</v>
      </c>
      <c r="C37" s="54">
        <f>'AOC 400G WOs'!AC91</f>
        <v>215</v>
      </c>
      <c r="D37" s="25">
        <f>'AOC 400G WOs'!AD91</f>
        <v>178</v>
      </c>
      <c r="E37" s="25">
        <f t="shared" si="2"/>
        <v>37</v>
      </c>
      <c r="F37" s="23"/>
      <c r="G37" s="23"/>
      <c r="H37" s="84">
        <v>0</v>
      </c>
      <c r="I37" s="92">
        <f t="shared" si="3"/>
        <v>1</v>
      </c>
      <c r="J37" s="92">
        <f t="shared" si="4"/>
        <v>1</v>
      </c>
    </row>
    <row r="38" spans="1:10">
      <c r="A38" s="285"/>
      <c r="B38" s="50" t="s">
        <v>56</v>
      </c>
      <c r="C38" s="53">
        <f>'AOC 400G WOs'!AE91</f>
        <v>178</v>
      </c>
      <c r="D38" s="25">
        <f>'AOC 400G WOs'!AF91</f>
        <v>157</v>
      </c>
      <c r="E38" s="25">
        <f t="shared" si="2"/>
        <v>21</v>
      </c>
      <c r="F38" s="23"/>
      <c r="G38" s="23"/>
      <c r="H38" s="84">
        <v>0</v>
      </c>
      <c r="I38" s="92">
        <f t="shared" si="3"/>
        <v>1</v>
      </c>
      <c r="J38" s="92">
        <f t="shared" si="4"/>
        <v>1</v>
      </c>
    </row>
    <row r="39" spans="1:10">
      <c r="A39" s="285"/>
      <c r="B39" s="50" t="s">
        <v>57</v>
      </c>
      <c r="C39" s="53">
        <f>'AOC 400G WOs'!AG91</f>
        <v>157</v>
      </c>
      <c r="D39" s="25">
        <f>'AOC 400G WOs'!AH91</f>
        <v>132</v>
      </c>
      <c r="E39" s="25">
        <f t="shared" si="2"/>
        <v>23</v>
      </c>
      <c r="F39" s="23">
        <v>2</v>
      </c>
      <c r="G39" s="23"/>
      <c r="H39" s="84">
        <v>0</v>
      </c>
      <c r="I39" s="92">
        <f t="shared" si="3"/>
        <v>0.97452229299363058</v>
      </c>
      <c r="J39" s="92">
        <f t="shared" si="4"/>
        <v>0.98726114649681529</v>
      </c>
    </row>
    <row r="40" spans="1:10">
      <c r="A40" s="285"/>
      <c r="B40" s="50" t="s">
        <v>58</v>
      </c>
      <c r="C40" s="25">
        <f>'AOC 400G WOs'!AI91</f>
        <v>132</v>
      </c>
      <c r="D40" s="22">
        <f>'AOC 400G WOs'!AJ91</f>
        <v>118</v>
      </c>
      <c r="E40" s="25">
        <f t="shared" si="2"/>
        <v>14</v>
      </c>
      <c r="F40" s="23"/>
      <c r="G40" s="23"/>
      <c r="H40" s="54">
        <v>0</v>
      </c>
      <c r="I40" s="92">
        <f t="shared" si="3"/>
        <v>1</v>
      </c>
      <c r="J40" s="92">
        <f t="shared" si="4"/>
        <v>1</v>
      </c>
    </row>
    <row r="41" spans="1:10" ht="15" hidden="1" customHeight="1">
      <c r="A41" s="285"/>
      <c r="B41" s="50" t="s">
        <v>44</v>
      </c>
      <c r="C41" s="25" t="e">
        <f>'AOC 400G WOs'!#REF!</f>
        <v>#REF!</v>
      </c>
      <c r="D41" s="25" t="e">
        <f>'AOC 400G WOs'!#REF!</f>
        <v>#REF!</v>
      </c>
      <c r="E41" s="23" t="e">
        <f>C41-D41-H41</f>
        <v>#REF!</v>
      </c>
      <c r="F41" s="23"/>
      <c r="G41" s="23"/>
      <c r="H41" s="54">
        <v>0</v>
      </c>
      <c r="I41" s="92" t="e">
        <f t="shared" si="3"/>
        <v>#REF!</v>
      </c>
      <c r="J41" s="70" t="e">
        <f>D41/(H41+D41)</f>
        <v>#REF!</v>
      </c>
    </row>
    <row r="42" spans="1:10" ht="15" hidden="1" customHeight="1">
      <c r="A42" s="285"/>
      <c r="B42" s="51" t="s">
        <v>45</v>
      </c>
      <c r="C42" s="25" t="e">
        <f>'AOC 400G WOs'!#REF!</f>
        <v>#REF!</v>
      </c>
      <c r="D42" s="25" t="e">
        <f>'AOC 400G WOs'!#REF!</f>
        <v>#REF!</v>
      </c>
      <c r="E42" s="23" t="e">
        <f>C42-D42-H42</f>
        <v>#REF!</v>
      </c>
      <c r="F42" s="23"/>
      <c r="G42" s="23"/>
      <c r="H42" s="54">
        <v>0</v>
      </c>
      <c r="I42" s="92" t="e">
        <f t="shared" si="3"/>
        <v>#REF!</v>
      </c>
      <c r="J42" s="70" t="e">
        <f>D42/(H42+D42)</f>
        <v>#REF!</v>
      </c>
    </row>
    <row r="43" spans="1:10" ht="16.5" hidden="1" customHeight="1">
      <c r="A43" s="285"/>
      <c r="B43" s="52" t="s">
        <v>46</v>
      </c>
      <c r="C43" s="26" t="e">
        <f>'AOC 400G WOs'!#REF!</f>
        <v>#REF!</v>
      </c>
      <c r="D43" s="26" t="e">
        <f>'AOC 400G WOs'!#REF!</f>
        <v>#REF!</v>
      </c>
      <c r="E43" s="37" t="e">
        <f>C43-D43-H43</f>
        <v>#REF!</v>
      </c>
      <c r="F43" s="37"/>
      <c r="G43" s="37"/>
      <c r="H43" s="76">
        <v>0</v>
      </c>
      <c r="I43" s="92" t="e">
        <f t="shared" si="3"/>
        <v>#REF!</v>
      </c>
      <c r="J43" s="71" t="e">
        <f>D43/(H43+D43)</f>
        <v>#REF!</v>
      </c>
    </row>
    <row r="44" spans="1:10">
      <c r="A44" s="286"/>
      <c r="B44" s="124" t="s">
        <v>90</v>
      </c>
      <c r="C44" s="93">
        <f>SUM(C25:C40)</f>
        <v>5273</v>
      </c>
      <c r="D44" s="93">
        <f>SUM(D25:D40)</f>
        <v>4977</v>
      </c>
      <c r="E44" s="93">
        <f>SUM(E25:E40)</f>
        <v>203</v>
      </c>
      <c r="F44" s="93">
        <f>SUM(F25:F40)</f>
        <v>93</v>
      </c>
      <c r="G44" s="93"/>
      <c r="H44" s="93">
        <f>SUM(H25:H43)</f>
        <v>79</v>
      </c>
      <c r="I44" s="92">
        <f>(D44+E44-F44)/C44</f>
        <v>0.96472596245021813</v>
      </c>
      <c r="J44" s="70">
        <f>D44/(H44+D44)</f>
        <v>0.984375</v>
      </c>
    </row>
    <row r="45" spans="1:10">
      <c r="A45" s="89"/>
      <c r="B45" s="125" t="s">
        <v>91</v>
      </c>
      <c r="C45" s="91">
        <f>C25</f>
        <v>429</v>
      </c>
      <c r="D45" s="91">
        <f>D40</f>
        <v>118</v>
      </c>
      <c r="E45" s="91">
        <f>SUM(E25:E40)</f>
        <v>203</v>
      </c>
      <c r="F45" s="91">
        <f>SUM(F25:F40)</f>
        <v>93</v>
      </c>
      <c r="G45" s="91"/>
      <c r="H45" s="91">
        <f>SUM(H25:H43)</f>
        <v>79</v>
      </c>
      <c r="I45" s="92">
        <f t="shared" si="3"/>
        <v>0.53146853146853146</v>
      </c>
      <c r="J45" s="70">
        <f>D45/(H45+D45)</f>
        <v>0.59898477157360408</v>
      </c>
    </row>
    <row r="71" spans="1:10">
      <c r="A71" s="282" t="s">
        <v>93</v>
      </c>
      <c r="B71" s="28"/>
      <c r="C71" s="22"/>
      <c r="D71" s="22"/>
      <c r="E71" s="23"/>
      <c r="F71" s="23"/>
      <c r="G71" s="23"/>
      <c r="H71" s="22"/>
      <c r="I71" s="54"/>
      <c r="J71" s="29"/>
    </row>
    <row r="72" spans="1:10">
      <c r="A72" s="282"/>
      <c r="B72" s="30"/>
      <c r="C72" s="31"/>
      <c r="D72" s="31"/>
      <c r="E72" s="23"/>
      <c r="F72" s="23"/>
      <c r="G72" s="23"/>
      <c r="H72" s="25"/>
      <c r="I72" s="53"/>
      <c r="J72" s="24"/>
    </row>
    <row r="73" spans="1:10">
      <c r="A73" s="282"/>
      <c r="B73" s="30"/>
      <c r="C73" s="32"/>
      <c r="D73" s="32"/>
      <c r="E73" s="23"/>
      <c r="F73" s="23"/>
      <c r="G73" s="23"/>
      <c r="H73" s="25"/>
      <c r="I73" s="53"/>
      <c r="J73" s="24"/>
    </row>
    <row r="74" spans="1:10">
      <c r="A74" s="282"/>
      <c r="B74" s="30"/>
      <c r="C74" s="32"/>
      <c r="D74" s="32"/>
      <c r="E74" s="23"/>
      <c r="F74" s="23"/>
      <c r="G74" s="23"/>
      <c r="H74" s="25"/>
      <c r="I74" s="53"/>
      <c r="J74" s="24"/>
    </row>
    <row r="75" spans="1:10">
      <c r="A75" s="282"/>
      <c r="B75" s="30"/>
      <c r="C75" s="32"/>
      <c r="D75" s="32"/>
      <c r="E75" s="23"/>
      <c r="F75" s="23"/>
      <c r="G75" s="23"/>
      <c r="H75" s="25"/>
      <c r="I75" s="53"/>
      <c r="J75" s="24"/>
    </row>
    <row r="76" spans="1:10">
      <c r="A76" s="282"/>
      <c r="B76" s="30"/>
      <c r="C76" s="32"/>
      <c r="D76" s="32"/>
      <c r="E76" s="33"/>
      <c r="F76" s="33"/>
      <c r="G76" s="33"/>
      <c r="H76" s="34"/>
      <c r="I76" s="77"/>
      <c r="J76" s="24"/>
    </row>
    <row r="77" spans="1:10">
      <c r="A77" s="282"/>
      <c r="B77" s="30"/>
      <c r="C77" s="32"/>
      <c r="D77" s="32"/>
      <c r="E77" s="23"/>
      <c r="F77" s="23"/>
      <c r="G77" s="23"/>
      <c r="H77" s="34"/>
      <c r="I77" s="77"/>
      <c r="J77" s="24"/>
    </row>
    <row r="78" spans="1:10">
      <c r="A78" s="282"/>
      <c r="B78" s="35"/>
      <c r="C78" s="36"/>
      <c r="D78" s="36"/>
      <c r="E78" s="37"/>
      <c r="F78" s="37"/>
      <c r="G78" s="37"/>
      <c r="H78" s="26"/>
      <c r="I78" s="78"/>
      <c r="J78" s="27"/>
    </row>
    <row r="79" spans="1:10">
      <c r="A79" s="282"/>
      <c r="B79" s="38"/>
      <c r="C79" s="39"/>
      <c r="D79" s="39"/>
      <c r="E79" s="39"/>
      <c r="F79" s="75"/>
      <c r="G79" s="75"/>
      <c r="H79" s="40"/>
      <c r="I79" s="79"/>
      <c r="J79" s="41"/>
    </row>
    <row r="80" spans="1:10">
      <c r="A80" s="283" t="s">
        <v>94</v>
      </c>
      <c r="B80" s="42"/>
      <c r="C80" s="43"/>
      <c r="D80" s="43"/>
      <c r="E80" s="43"/>
      <c r="F80" s="43"/>
      <c r="G80" s="43"/>
      <c r="H80" s="43"/>
      <c r="I80" s="80"/>
      <c r="J80" s="44"/>
    </row>
    <row r="81" spans="1:10">
      <c r="A81" s="283"/>
      <c r="B81" s="4"/>
      <c r="C81" s="45"/>
      <c r="D81" s="45"/>
      <c r="E81" s="45"/>
      <c r="F81" s="45"/>
      <c r="G81" s="45"/>
      <c r="H81" s="45"/>
      <c r="I81" s="81"/>
      <c r="J81" s="44"/>
    </row>
    <row r="82" spans="1:10">
      <c r="A82" s="283"/>
      <c r="B82" s="4"/>
      <c r="C82" s="45"/>
      <c r="D82" s="45"/>
      <c r="E82" s="45"/>
      <c r="F82" s="45"/>
      <c r="G82" s="45"/>
      <c r="H82" s="45"/>
      <c r="I82" s="81"/>
      <c r="J82" s="44"/>
    </row>
    <row r="83" spans="1:10">
      <c r="A83" s="283"/>
      <c r="B83" s="4"/>
      <c r="C83" s="45"/>
      <c r="D83" s="45"/>
      <c r="E83" s="45"/>
      <c r="F83" s="45"/>
      <c r="G83" s="45"/>
      <c r="H83" s="45"/>
      <c r="I83" s="81"/>
      <c r="J83" s="44"/>
    </row>
    <row r="84" spans="1:10">
      <c r="A84" s="283"/>
      <c r="B84" s="4"/>
      <c r="C84" s="45"/>
      <c r="D84" s="45"/>
      <c r="E84" s="45"/>
      <c r="F84" s="45"/>
      <c r="G84" s="45"/>
      <c r="H84" s="45"/>
      <c r="I84" s="81"/>
      <c r="J84" s="44"/>
    </row>
    <row r="85" spans="1:10">
      <c r="A85" s="283"/>
      <c r="B85" s="4"/>
      <c r="C85" s="45"/>
      <c r="D85" s="45"/>
      <c r="E85" s="45"/>
      <c r="F85" s="45"/>
      <c r="G85" s="45"/>
      <c r="H85" s="45"/>
      <c r="I85" s="81"/>
      <c r="J85" s="44"/>
    </row>
    <row r="86" spans="1:10">
      <c r="A86" s="283"/>
      <c r="B86" s="4"/>
      <c r="C86" s="45"/>
      <c r="D86" s="45"/>
      <c r="E86" s="45"/>
      <c r="F86" s="45"/>
      <c r="G86" s="45"/>
      <c r="H86" s="45"/>
      <c r="I86" s="81"/>
      <c r="J86" s="44"/>
    </row>
    <row r="87" spans="1:10">
      <c r="A87" s="283"/>
      <c r="B87" s="4"/>
      <c r="C87" s="45"/>
      <c r="D87" s="45"/>
      <c r="E87" s="45"/>
      <c r="F87" s="45"/>
      <c r="G87" s="45"/>
      <c r="H87" s="45"/>
      <c r="I87" s="81"/>
      <c r="J87" s="44"/>
    </row>
    <row r="88" spans="1:10">
      <c r="A88" s="283"/>
      <c r="B88" s="4"/>
      <c r="C88" s="45"/>
      <c r="D88" s="45"/>
      <c r="E88" s="45"/>
      <c r="F88" s="45"/>
      <c r="G88" s="45"/>
      <c r="H88" s="45"/>
      <c r="I88" s="81"/>
      <c r="J88" s="44"/>
    </row>
    <row r="89" spans="1:10">
      <c r="A89" s="283"/>
      <c r="B89" s="4"/>
      <c r="C89" s="45"/>
      <c r="D89" s="45"/>
      <c r="E89" s="45"/>
      <c r="F89" s="45"/>
      <c r="G89" s="45"/>
      <c r="H89" s="45"/>
      <c r="I89" s="81"/>
      <c r="J89" s="44"/>
    </row>
    <row r="90" spans="1:10">
      <c r="A90" s="283"/>
      <c r="B90" s="4"/>
      <c r="C90" s="45"/>
      <c r="D90" s="45"/>
      <c r="E90" s="45"/>
      <c r="F90" s="45"/>
      <c r="G90" s="45"/>
      <c r="H90" s="45"/>
      <c r="I90" s="81"/>
      <c r="J90" s="44"/>
    </row>
    <row r="91" spans="1:10">
      <c r="A91" s="283"/>
      <c r="B91" s="46"/>
      <c r="C91" s="47"/>
      <c r="D91" s="47"/>
      <c r="E91" s="47"/>
      <c r="F91" s="47"/>
      <c r="G91" s="47"/>
      <c r="H91" s="47"/>
      <c r="I91" s="82"/>
      <c r="J91" s="41"/>
    </row>
  </sheetData>
  <mergeCells count="4">
    <mergeCell ref="A2:A23"/>
    <mergeCell ref="A71:A79"/>
    <mergeCell ref="A80:A91"/>
    <mergeCell ref="A25:A44"/>
  </mergeCells>
  <conditionalFormatting sqref="I2:J45">
    <cfRule type="cellIs" dxfId="8" priority="1" operator="lessThan">
      <formula>0.9</formula>
    </cfRule>
    <cfRule type="cellIs" dxfId="7" priority="2" operator="between">
      <formula>0.9</formula>
      <formula>0.95</formula>
    </cfRule>
    <cfRule type="cellIs" dxfId="6" priority="3" operator="greaterThanOrEqual">
      <formula>0.95</formula>
    </cfRule>
  </conditionalFormatting>
  <conditionalFormatting sqref="J71:J78">
    <cfRule type="cellIs" dxfId="5" priority="10" operator="lessThan">
      <formula>0.9</formula>
    </cfRule>
    <cfRule type="cellIs" dxfId="4" priority="11" operator="between">
      <formula>0.9</formula>
      <formula>0.95</formula>
    </cfRule>
    <cfRule type="cellIs" dxfId="3" priority="12" operator="greaterThanOrEqual">
      <formula>0.95</formula>
    </cfRule>
  </conditionalFormatting>
  <conditionalFormatting sqref="J80:J90">
    <cfRule type="cellIs" dxfId="2" priority="7" operator="lessThan">
      <formula>0.9</formula>
    </cfRule>
    <cfRule type="cellIs" dxfId="1" priority="8" operator="between">
      <formula>0.9</formula>
      <formula>0.95</formula>
    </cfRule>
    <cfRule type="cellIs" dxfId="0" priority="9" operator="greaterThanOrEqual">
      <formula>0.95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7116-0E5C-48F0-BF1E-9F700F2B7C62}">
  <dimension ref="A1:Z18"/>
  <sheetViews>
    <sheetView workbookViewId="0">
      <selection activeCell="O23" sqref="O23"/>
    </sheetView>
  </sheetViews>
  <sheetFormatPr defaultRowHeight="15"/>
  <cols>
    <col min="1" max="1" width="16.42578125" customWidth="1"/>
    <col min="4" max="4" width="12.85546875" customWidth="1"/>
  </cols>
  <sheetData>
    <row r="1" spans="1:26">
      <c r="A1" s="49" t="s">
        <v>37</v>
      </c>
      <c r="B1" s="48" t="s">
        <v>38</v>
      </c>
      <c r="C1" s="58" t="s">
        <v>39</v>
      </c>
      <c r="E1" s="290" t="s">
        <v>42</v>
      </c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</row>
    <row r="2" spans="1:26" ht="15" customHeight="1">
      <c r="A2" s="11" t="s">
        <v>3</v>
      </c>
      <c r="B2" s="7" t="s">
        <v>4</v>
      </c>
      <c r="C2" s="7" t="s">
        <v>5</v>
      </c>
      <c r="D2" s="2"/>
      <c r="E2" s="207" t="s">
        <v>43</v>
      </c>
      <c r="F2" s="201"/>
      <c r="G2" s="207" t="s">
        <v>47</v>
      </c>
      <c r="H2" s="201"/>
      <c r="I2" s="207" t="s">
        <v>48</v>
      </c>
      <c r="J2" s="201"/>
      <c r="K2" s="207" t="s">
        <v>49</v>
      </c>
      <c r="L2" s="201"/>
      <c r="M2" s="207" t="s">
        <v>50</v>
      </c>
      <c r="N2" s="201"/>
      <c r="O2" s="207" t="s">
        <v>51</v>
      </c>
      <c r="P2" s="201"/>
      <c r="Q2" s="207" t="s">
        <v>52</v>
      </c>
      <c r="R2" s="201"/>
      <c r="S2" s="207" t="s">
        <v>53</v>
      </c>
      <c r="T2" s="201"/>
      <c r="U2" s="214" t="s">
        <v>56</v>
      </c>
      <c r="V2" s="215"/>
      <c r="W2" s="210" t="s">
        <v>57</v>
      </c>
      <c r="X2" s="216"/>
      <c r="Y2" s="209" t="s">
        <v>58</v>
      </c>
      <c r="Z2" s="209"/>
    </row>
    <row r="3" spans="1:26">
      <c r="A3" s="259">
        <v>120049614</v>
      </c>
      <c r="B3" s="275">
        <v>30</v>
      </c>
      <c r="C3" s="287" t="s">
        <v>38</v>
      </c>
      <c r="D3" s="8" t="s">
        <v>40</v>
      </c>
      <c r="E3" s="233">
        <v>46070</v>
      </c>
      <c r="F3" s="234"/>
      <c r="G3" s="233">
        <f>WORKDAY.INTL(E3,0,11)</f>
        <v>46070</v>
      </c>
      <c r="H3" s="234"/>
      <c r="I3" s="233">
        <f t="shared" ref="I3" si="0">WORKDAY.INTL(G3,0,11)</f>
        <v>46070</v>
      </c>
      <c r="J3" s="234"/>
      <c r="K3" s="233">
        <f t="shared" ref="K3" si="1">WORKDAY.INTL(I3,0,11)</f>
        <v>46070</v>
      </c>
      <c r="L3" s="234"/>
      <c r="M3" s="233">
        <f t="shared" ref="M3" si="2">WORKDAY.INTL(K3,0,11)</f>
        <v>46070</v>
      </c>
      <c r="N3" s="234"/>
      <c r="O3" s="233">
        <f t="shared" ref="O3" si="3">WORKDAY.INTL(M3,0,11)</f>
        <v>46070</v>
      </c>
      <c r="P3" s="234"/>
      <c r="Q3" s="233">
        <f>WORKDAY.INTL(O3,2,11)</f>
        <v>46072</v>
      </c>
      <c r="R3" s="234"/>
      <c r="S3" s="233">
        <f t="shared" ref="S3" si="4">WORKDAY.INTL(Q3,0,11)</f>
        <v>46072</v>
      </c>
      <c r="T3" s="234"/>
      <c r="U3" s="233">
        <f>WORKDAY.INTL(S3,0,11)</f>
        <v>46072</v>
      </c>
      <c r="V3" s="234"/>
      <c r="W3" s="233">
        <f t="shared" ref="W3" si="5">WORKDAY.INTL(U3,0,11)</f>
        <v>46072</v>
      </c>
      <c r="X3" s="234"/>
      <c r="Y3" s="233">
        <f>WORKDAY.INTL(W3,0,11)</f>
        <v>46072</v>
      </c>
      <c r="Z3" s="234"/>
    </row>
    <row r="4" spans="1:26">
      <c r="A4" s="260"/>
      <c r="B4" s="276"/>
      <c r="C4" s="288"/>
      <c r="D4" s="9" t="s">
        <v>41</v>
      </c>
      <c r="E4" s="235">
        <v>46072</v>
      </c>
      <c r="F4" s="237"/>
      <c r="G4" s="235"/>
      <c r="H4" s="237"/>
      <c r="I4" s="235"/>
      <c r="J4" s="237"/>
      <c r="K4" s="235"/>
      <c r="L4" s="237"/>
      <c r="M4" s="235"/>
      <c r="N4" s="237"/>
      <c r="O4" s="235"/>
      <c r="P4" s="237"/>
      <c r="Q4" s="269"/>
      <c r="R4" s="270"/>
      <c r="S4" s="269"/>
      <c r="T4" s="270"/>
      <c r="U4" s="269"/>
      <c r="V4" s="270"/>
      <c r="W4" s="269"/>
      <c r="X4" s="270"/>
      <c r="Y4" s="269"/>
      <c r="Z4" s="270"/>
    </row>
    <row r="5" spans="1:26">
      <c r="A5" s="260"/>
      <c r="B5" s="276"/>
      <c r="C5" s="288"/>
      <c r="D5" s="9" t="s">
        <v>33</v>
      </c>
      <c r="E5" s="62">
        <v>30</v>
      </c>
      <c r="F5" s="62"/>
      <c r="G5" s="62"/>
      <c r="H5" s="62"/>
      <c r="I5" s="62"/>
      <c r="J5" s="63"/>
      <c r="K5" s="62"/>
      <c r="L5" s="62"/>
      <c r="M5" s="62"/>
      <c r="N5" s="62"/>
      <c r="O5" s="62"/>
      <c r="P5" s="62"/>
      <c r="Q5" s="62"/>
      <c r="R5" s="64"/>
      <c r="S5" s="62"/>
      <c r="T5" s="62"/>
      <c r="U5" s="65"/>
      <c r="V5" s="65"/>
      <c r="W5" s="65"/>
      <c r="X5" s="65"/>
      <c r="Y5" s="65"/>
      <c r="Z5" s="65"/>
    </row>
    <row r="6" spans="1:26">
      <c r="A6" s="261"/>
      <c r="B6" s="277"/>
      <c r="C6" s="289"/>
      <c r="D6" s="10" t="s">
        <v>22</v>
      </c>
      <c r="E6" s="252">
        <f>F5/E5</f>
        <v>0</v>
      </c>
      <c r="F6" s="253"/>
      <c r="G6" s="252" t="e">
        <f>H5/G5</f>
        <v>#DIV/0!</v>
      </c>
      <c r="H6" s="253"/>
      <c r="I6" s="252" t="e">
        <f>J5/I5</f>
        <v>#DIV/0!</v>
      </c>
      <c r="J6" s="253"/>
      <c r="K6" s="252" t="e">
        <f>L5/K5</f>
        <v>#DIV/0!</v>
      </c>
      <c r="L6" s="253"/>
      <c r="M6" s="252" t="e">
        <f>N5/M5</f>
        <v>#DIV/0!</v>
      </c>
      <c r="N6" s="253"/>
      <c r="O6" s="252" t="e">
        <f>P5/O5</f>
        <v>#DIV/0!</v>
      </c>
      <c r="P6" s="253"/>
      <c r="Q6" s="252" t="e">
        <f>R5/Q5</f>
        <v>#DIV/0!</v>
      </c>
      <c r="R6" s="253"/>
      <c r="S6" s="252" t="e">
        <f>T5/S5</f>
        <v>#DIV/0!</v>
      </c>
      <c r="T6" s="253"/>
      <c r="U6" s="252" t="e">
        <f>V5/U5</f>
        <v>#DIV/0!</v>
      </c>
      <c r="V6" s="253"/>
      <c r="W6" s="252" t="e">
        <f>X5/W5</f>
        <v>#DIV/0!</v>
      </c>
      <c r="X6" s="253"/>
      <c r="Y6" s="252" t="e">
        <f>Z5/Y5</f>
        <v>#DIV/0!</v>
      </c>
      <c r="Z6" s="253"/>
    </row>
    <row r="7" spans="1:26">
      <c r="A7" s="259">
        <v>120049615</v>
      </c>
      <c r="B7" s="275">
        <v>30</v>
      </c>
      <c r="C7" s="287" t="s">
        <v>38</v>
      </c>
      <c r="D7" s="8" t="s">
        <v>40</v>
      </c>
      <c r="E7" s="233">
        <v>46071</v>
      </c>
      <c r="F7" s="234"/>
      <c r="G7" s="233">
        <f>WORKDAY.INTL(E7,0,11)</f>
        <v>46071</v>
      </c>
      <c r="H7" s="234"/>
      <c r="I7" s="233">
        <f t="shared" ref="I7" si="6">WORKDAY.INTL(G7,0,11)</f>
        <v>46071</v>
      </c>
      <c r="J7" s="234"/>
      <c r="K7" s="233">
        <f t="shared" ref="K7" si="7">WORKDAY.INTL(I7,0,11)</f>
        <v>46071</v>
      </c>
      <c r="L7" s="234"/>
      <c r="M7" s="233">
        <f t="shared" ref="M7" si="8">WORKDAY.INTL(K7,0,11)</f>
        <v>46071</v>
      </c>
      <c r="N7" s="234"/>
      <c r="O7" s="233">
        <f t="shared" ref="O7" si="9">WORKDAY.INTL(M7,0,11)</f>
        <v>46071</v>
      </c>
      <c r="P7" s="234"/>
      <c r="Q7" s="233">
        <f>WORKDAY.INTL(O7,2,11)</f>
        <v>46073</v>
      </c>
      <c r="R7" s="234"/>
      <c r="S7" s="233">
        <f t="shared" ref="S7" si="10">WORKDAY.INTL(Q7,0,11)</f>
        <v>46073</v>
      </c>
      <c r="T7" s="234"/>
      <c r="U7" s="233">
        <f>WORKDAY.INTL(S7,0,11)</f>
        <v>46073</v>
      </c>
      <c r="V7" s="234"/>
      <c r="W7" s="233">
        <f t="shared" ref="W7" si="11">WORKDAY.INTL(U7,0,11)</f>
        <v>46073</v>
      </c>
      <c r="X7" s="234"/>
      <c r="Y7" s="233">
        <f>WORKDAY.INTL(W7,0,11)</f>
        <v>46073</v>
      </c>
      <c r="Z7" s="234"/>
    </row>
    <row r="8" spans="1:26">
      <c r="A8" s="260"/>
      <c r="B8" s="276"/>
      <c r="C8" s="288"/>
      <c r="D8" s="9" t="s">
        <v>41</v>
      </c>
      <c r="E8" s="235">
        <v>46072</v>
      </c>
      <c r="F8" s="237"/>
      <c r="G8" s="235"/>
      <c r="H8" s="237"/>
      <c r="I8" s="235"/>
      <c r="J8" s="237"/>
      <c r="K8" s="235"/>
      <c r="L8" s="237"/>
      <c r="M8" s="235"/>
      <c r="N8" s="237"/>
      <c r="O8" s="235"/>
      <c r="P8" s="237"/>
      <c r="Q8" s="269"/>
      <c r="R8" s="270"/>
      <c r="S8" s="269"/>
      <c r="T8" s="270"/>
      <c r="U8" s="269"/>
      <c r="V8" s="270"/>
      <c r="W8" s="269"/>
      <c r="X8" s="270"/>
      <c r="Y8" s="269"/>
      <c r="Z8" s="270"/>
    </row>
    <row r="9" spans="1:26">
      <c r="A9" s="260"/>
      <c r="B9" s="276"/>
      <c r="C9" s="288"/>
      <c r="D9" s="9" t="s">
        <v>33</v>
      </c>
      <c r="E9" s="62">
        <v>30</v>
      </c>
      <c r="F9" s="62"/>
      <c r="G9" s="62"/>
      <c r="H9" s="62"/>
      <c r="I9" s="62"/>
      <c r="J9" s="63"/>
      <c r="K9" s="62"/>
      <c r="L9" s="62"/>
      <c r="M9" s="62"/>
      <c r="N9" s="62"/>
      <c r="O9" s="62"/>
      <c r="P9" s="62"/>
      <c r="Q9" s="62"/>
      <c r="R9" s="64"/>
      <c r="S9" s="62"/>
      <c r="T9" s="62"/>
      <c r="U9" s="65"/>
      <c r="V9" s="65"/>
      <c r="W9" s="65"/>
      <c r="X9" s="65"/>
      <c r="Y9" s="65"/>
      <c r="Z9" s="65"/>
    </row>
    <row r="10" spans="1:26">
      <c r="A10" s="261"/>
      <c r="B10" s="277"/>
      <c r="C10" s="289"/>
      <c r="D10" s="10" t="s">
        <v>22</v>
      </c>
      <c r="E10" s="252">
        <f>F9/E9</f>
        <v>0</v>
      </c>
      <c r="F10" s="253"/>
      <c r="G10" s="252" t="e">
        <f>H9/G9</f>
        <v>#DIV/0!</v>
      </c>
      <c r="H10" s="253"/>
      <c r="I10" s="252" t="e">
        <f>J9/I9</f>
        <v>#DIV/0!</v>
      </c>
      <c r="J10" s="253"/>
      <c r="K10" s="252" t="e">
        <f>L9/K9</f>
        <v>#DIV/0!</v>
      </c>
      <c r="L10" s="253"/>
      <c r="M10" s="252" t="e">
        <f>N9/M9</f>
        <v>#DIV/0!</v>
      </c>
      <c r="N10" s="253"/>
      <c r="O10" s="252" t="e">
        <f>P9/O9</f>
        <v>#DIV/0!</v>
      </c>
      <c r="P10" s="253"/>
      <c r="Q10" s="252" t="e">
        <f>R9/Q9</f>
        <v>#DIV/0!</v>
      </c>
      <c r="R10" s="253"/>
      <c r="S10" s="252" t="e">
        <f>T9/S9</f>
        <v>#DIV/0!</v>
      </c>
      <c r="T10" s="253"/>
      <c r="U10" s="252" t="e">
        <f>V9/U9</f>
        <v>#DIV/0!</v>
      </c>
      <c r="V10" s="253"/>
      <c r="W10" s="252" t="e">
        <f>X9/W9</f>
        <v>#DIV/0!</v>
      </c>
      <c r="X10" s="253"/>
      <c r="Y10" s="252" t="e">
        <f>Z9/Y9</f>
        <v>#DIV/0!</v>
      </c>
      <c r="Z10" s="253"/>
    </row>
    <row r="11" spans="1:26">
      <c r="A11" s="259">
        <v>120049616</v>
      </c>
      <c r="B11" s="275">
        <v>30</v>
      </c>
      <c r="C11" s="287" t="s">
        <v>38</v>
      </c>
      <c r="D11" s="8" t="s">
        <v>40</v>
      </c>
      <c r="E11" s="233">
        <v>46072</v>
      </c>
      <c r="F11" s="234"/>
      <c r="G11" s="233">
        <f>WORKDAY.INTL(E11,0,11)</f>
        <v>46072</v>
      </c>
      <c r="H11" s="234"/>
      <c r="I11" s="233">
        <f t="shared" ref="I11" si="12">WORKDAY.INTL(G11,0,11)</f>
        <v>46072</v>
      </c>
      <c r="J11" s="234"/>
      <c r="K11" s="233">
        <f t="shared" ref="K11" si="13">WORKDAY.INTL(I11,0,11)</f>
        <v>46072</v>
      </c>
      <c r="L11" s="234"/>
      <c r="M11" s="233">
        <f t="shared" ref="M11" si="14">WORKDAY.INTL(K11,0,11)</f>
        <v>46072</v>
      </c>
      <c r="N11" s="234"/>
      <c r="O11" s="233">
        <f t="shared" ref="O11" si="15">WORKDAY.INTL(M11,0,11)</f>
        <v>46072</v>
      </c>
      <c r="P11" s="234"/>
      <c r="Q11" s="233">
        <f>WORKDAY.INTL(O11,2,11)</f>
        <v>46074</v>
      </c>
      <c r="R11" s="234"/>
      <c r="S11" s="233">
        <f t="shared" ref="S11" si="16">WORKDAY.INTL(Q11,0,11)</f>
        <v>46074</v>
      </c>
      <c r="T11" s="234"/>
      <c r="U11" s="233">
        <f>WORKDAY.INTL(S11,0,11)</f>
        <v>46074</v>
      </c>
      <c r="V11" s="234"/>
      <c r="W11" s="233">
        <f t="shared" ref="W11" si="17">WORKDAY.INTL(U11,0,11)</f>
        <v>46074</v>
      </c>
      <c r="X11" s="234"/>
      <c r="Y11" s="233">
        <f>WORKDAY.INTL(W11,0,11)</f>
        <v>46074</v>
      </c>
      <c r="Z11" s="234"/>
    </row>
    <row r="12" spans="1:26">
      <c r="A12" s="260"/>
      <c r="B12" s="276"/>
      <c r="C12" s="288"/>
      <c r="D12" s="9" t="s">
        <v>41</v>
      </c>
      <c r="E12" s="235">
        <v>46072</v>
      </c>
      <c r="F12" s="237"/>
      <c r="G12" s="235"/>
      <c r="H12" s="237"/>
      <c r="I12" s="235"/>
      <c r="J12" s="237"/>
      <c r="K12" s="235"/>
      <c r="L12" s="237"/>
      <c r="M12" s="235"/>
      <c r="N12" s="237"/>
      <c r="O12" s="235"/>
      <c r="P12" s="237"/>
      <c r="Q12" s="269"/>
      <c r="R12" s="270"/>
      <c r="S12" s="269"/>
      <c r="T12" s="270"/>
      <c r="U12" s="269"/>
      <c r="V12" s="270"/>
      <c r="W12" s="269"/>
      <c r="X12" s="270"/>
      <c r="Y12" s="269"/>
      <c r="Z12" s="270"/>
    </row>
    <row r="13" spans="1:26">
      <c r="A13" s="260"/>
      <c r="B13" s="276"/>
      <c r="C13" s="288"/>
      <c r="D13" s="9" t="s">
        <v>33</v>
      </c>
      <c r="E13" s="62">
        <v>30</v>
      </c>
      <c r="F13" s="62"/>
      <c r="G13" s="62"/>
      <c r="H13" s="62"/>
      <c r="I13" s="62"/>
      <c r="J13" s="63"/>
      <c r="K13" s="62"/>
      <c r="L13" s="62"/>
      <c r="M13" s="62"/>
      <c r="N13" s="62"/>
      <c r="O13" s="62"/>
      <c r="P13" s="62"/>
      <c r="Q13" s="62"/>
      <c r="R13" s="64"/>
      <c r="S13" s="62"/>
      <c r="T13" s="62"/>
      <c r="U13" s="65"/>
      <c r="V13" s="65"/>
      <c r="W13" s="65"/>
      <c r="X13" s="65"/>
      <c r="Y13" s="65"/>
      <c r="Z13" s="65"/>
    </row>
    <row r="14" spans="1:26">
      <c r="A14" s="261"/>
      <c r="B14" s="277"/>
      <c r="C14" s="289"/>
      <c r="D14" s="10" t="s">
        <v>22</v>
      </c>
      <c r="E14" s="252">
        <f>F13/E13</f>
        <v>0</v>
      </c>
      <c r="F14" s="253"/>
      <c r="G14" s="252" t="e">
        <f>H13/G13</f>
        <v>#DIV/0!</v>
      </c>
      <c r="H14" s="253"/>
      <c r="I14" s="252" t="e">
        <f>J13/I13</f>
        <v>#DIV/0!</v>
      </c>
      <c r="J14" s="253"/>
      <c r="K14" s="252" t="e">
        <f>L13/K13</f>
        <v>#DIV/0!</v>
      </c>
      <c r="L14" s="253"/>
      <c r="M14" s="252" t="e">
        <f>N13/M13</f>
        <v>#DIV/0!</v>
      </c>
      <c r="N14" s="253"/>
      <c r="O14" s="252" t="e">
        <f>P13/O13</f>
        <v>#DIV/0!</v>
      </c>
      <c r="P14" s="253"/>
      <c r="Q14" s="252" t="e">
        <f>R13/Q13</f>
        <v>#DIV/0!</v>
      </c>
      <c r="R14" s="253"/>
      <c r="S14" s="252" t="e">
        <f>T13/S13</f>
        <v>#DIV/0!</v>
      </c>
      <c r="T14" s="253"/>
      <c r="U14" s="252" t="e">
        <f>V13/U13</f>
        <v>#DIV/0!</v>
      </c>
      <c r="V14" s="253"/>
      <c r="W14" s="252" t="e">
        <f>X13/W13</f>
        <v>#DIV/0!</v>
      </c>
      <c r="X14" s="253"/>
      <c r="Y14" s="252" t="e">
        <f>Z13/Y13</f>
        <v>#DIV/0!</v>
      </c>
      <c r="Z14" s="253"/>
    </row>
    <row r="15" spans="1:26">
      <c r="A15" s="259">
        <v>120049617</v>
      </c>
      <c r="B15" s="275">
        <v>30</v>
      </c>
      <c r="C15" s="287" t="s">
        <v>38</v>
      </c>
      <c r="D15" s="8" t="s">
        <v>40</v>
      </c>
      <c r="E15" s="233">
        <v>46073</v>
      </c>
      <c r="F15" s="234"/>
      <c r="G15" s="233">
        <f>WORKDAY.INTL(E15,0,11)</f>
        <v>46073</v>
      </c>
      <c r="H15" s="234"/>
      <c r="I15" s="233">
        <f t="shared" ref="I15" si="18">WORKDAY.INTL(G15,0,11)</f>
        <v>46073</v>
      </c>
      <c r="J15" s="234"/>
      <c r="K15" s="233">
        <f t="shared" ref="K15" si="19">WORKDAY.INTL(I15,0,11)</f>
        <v>46073</v>
      </c>
      <c r="L15" s="234"/>
      <c r="M15" s="233">
        <f t="shared" ref="M15" si="20">WORKDAY.INTL(K15,0,11)</f>
        <v>46073</v>
      </c>
      <c r="N15" s="234"/>
      <c r="O15" s="233">
        <f t="shared" ref="O15" si="21">WORKDAY.INTL(M15,0,11)</f>
        <v>46073</v>
      </c>
      <c r="P15" s="234"/>
      <c r="Q15" s="233">
        <f>WORKDAY.INTL(O15,2,11)</f>
        <v>46076</v>
      </c>
      <c r="R15" s="234"/>
      <c r="S15" s="233">
        <f t="shared" ref="S15" si="22">WORKDAY.INTL(Q15,0,11)</f>
        <v>46076</v>
      </c>
      <c r="T15" s="234"/>
      <c r="U15" s="233">
        <f>WORKDAY.INTL(S15,0,11)</f>
        <v>46076</v>
      </c>
      <c r="V15" s="234"/>
      <c r="W15" s="233">
        <f t="shared" ref="W15" si="23">WORKDAY.INTL(U15,0,11)</f>
        <v>46076</v>
      </c>
      <c r="X15" s="234"/>
      <c r="Y15" s="233">
        <f>WORKDAY.INTL(W15,0,11)</f>
        <v>46076</v>
      </c>
      <c r="Z15" s="234"/>
    </row>
    <row r="16" spans="1:26">
      <c r="A16" s="260"/>
      <c r="B16" s="276"/>
      <c r="C16" s="288"/>
      <c r="D16" s="9" t="s">
        <v>41</v>
      </c>
      <c r="E16" s="235"/>
      <c r="F16" s="237"/>
      <c r="G16" s="235"/>
      <c r="H16" s="237"/>
      <c r="I16" s="235"/>
      <c r="J16" s="237"/>
      <c r="K16" s="235"/>
      <c r="L16" s="237"/>
      <c r="M16" s="235"/>
      <c r="N16" s="237"/>
      <c r="O16" s="235"/>
      <c r="P16" s="237"/>
      <c r="Q16" s="269"/>
      <c r="R16" s="270"/>
      <c r="S16" s="269"/>
      <c r="T16" s="270"/>
      <c r="U16" s="269"/>
      <c r="V16" s="270"/>
      <c r="W16" s="269"/>
      <c r="X16" s="270"/>
      <c r="Y16" s="269"/>
      <c r="Z16" s="270"/>
    </row>
    <row r="17" spans="1:26">
      <c r="A17" s="260"/>
      <c r="B17" s="276"/>
      <c r="C17" s="288"/>
      <c r="D17" s="9" t="s">
        <v>33</v>
      </c>
      <c r="E17" s="62">
        <v>30</v>
      </c>
      <c r="F17" s="62"/>
      <c r="G17" s="62"/>
      <c r="H17" s="62"/>
      <c r="I17" s="62"/>
      <c r="J17" s="63"/>
      <c r="K17" s="62"/>
      <c r="L17" s="62"/>
      <c r="M17" s="62"/>
      <c r="N17" s="62"/>
      <c r="O17" s="62"/>
      <c r="P17" s="62"/>
      <c r="Q17" s="62"/>
      <c r="R17" s="64"/>
      <c r="S17" s="62"/>
      <c r="T17" s="62"/>
      <c r="U17" s="65"/>
      <c r="V17" s="65"/>
      <c r="W17" s="65"/>
      <c r="X17" s="65"/>
      <c r="Y17" s="65"/>
      <c r="Z17" s="65"/>
    </row>
    <row r="18" spans="1:26">
      <c r="A18" s="261"/>
      <c r="B18" s="277"/>
      <c r="C18" s="289"/>
      <c r="D18" s="10" t="s">
        <v>22</v>
      </c>
      <c r="E18" s="252">
        <f>F17/E17</f>
        <v>0</v>
      </c>
      <c r="F18" s="253"/>
      <c r="G18" s="252" t="e">
        <f>H17/G17</f>
        <v>#DIV/0!</v>
      </c>
      <c r="H18" s="253"/>
      <c r="I18" s="252" t="e">
        <f>J17/I17</f>
        <v>#DIV/0!</v>
      </c>
      <c r="J18" s="253"/>
      <c r="K18" s="252" t="e">
        <f>L17/K17</f>
        <v>#DIV/0!</v>
      </c>
      <c r="L18" s="253"/>
      <c r="M18" s="252" t="e">
        <f>N17/M17</f>
        <v>#DIV/0!</v>
      </c>
      <c r="N18" s="253"/>
      <c r="O18" s="252" t="e">
        <f>P17/O17</f>
        <v>#DIV/0!</v>
      </c>
      <c r="P18" s="253"/>
      <c r="Q18" s="252" t="e">
        <f>R17/Q17</f>
        <v>#DIV/0!</v>
      </c>
      <c r="R18" s="253"/>
      <c r="S18" s="252" t="e">
        <f>T17/S17</f>
        <v>#DIV/0!</v>
      </c>
      <c r="T18" s="253"/>
      <c r="U18" s="252" t="e">
        <f>V17/U17</f>
        <v>#DIV/0!</v>
      </c>
      <c r="V18" s="253"/>
      <c r="W18" s="252" t="e">
        <f>X17/W17</f>
        <v>#DIV/0!</v>
      </c>
      <c r="X18" s="253"/>
      <c r="Y18" s="252" t="e">
        <f>Z17/Y17</f>
        <v>#DIV/0!</v>
      </c>
      <c r="Z18" s="253"/>
    </row>
  </sheetData>
  <mergeCells count="156">
    <mergeCell ref="E1:T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3:A6"/>
    <mergeCell ref="B3:B6"/>
    <mergeCell ref="C3:C6"/>
    <mergeCell ref="E3:F3"/>
    <mergeCell ref="G3:H3"/>
    <mergeCell ref="I3:J3"/>
    <mergeCell ref="U3:V3"/>
    <mergeCell ref="W3:X3"/>
    <mergeCell ref="Y3:Z3"/>
    <mergeCell ref="E4:F4"/>
    <mergeCell ref="G4:H4"/>
    <mergeCell ref="I4:J4"/>
    <mergeCell ref="K4:L4"/>
    <mergeCell ref="M4:N4"/>
    <mergeCell ref="O4:P4"/>
    <mergeCell ref="K3:L3"/>
    <mergeCell ref="M3:N3"/>
    <mergeCell ref="O3:P3"/>
    <mergeCell ref="Q3:R3"/>
    <mergeCell ref="S3:T3"/>
    <mergeCell ref="Y4:Z4"/>
    <mergeCell ref="E6:F6"/>
    <mergeCell ref="G6:H6"/>
    <mergeCell ref="I6:J6"/>
    <mergeCell ref="K6:L6"/>
    <mergeCell ref="M6:N6"/>
    <mergeCell ref="O6:P6"/>
    <mergeCell ref="Q6:R6"/>
    <mergeCell ref="S6:T6"/>
    <mergeCell ref="Q4:R4"/>
    <mergeCell ref="S4:T4"/>
    <mergeCell ref="U4:V4"/>
    <mergeCell ref="W4:X4"/>
    <mergeCell ref="U6:V6"/>
    <mergeCell ref="W6:X6"/>
    <mergeCell ref="Y6:Z6"/>
    <mergeCell ref="A7:A10"/>
    <mergeCell ref="B7:B10"/>
    <mergeCell ref="C7:C10"/>
    <mergeCell ref="E7:F7"/>
    <mergeCell ref="G7:H7"/>
    <mergeCell ref="I7:J7"/>
    <mergeCell ref="U7:V7"/>
    <mergeCell ref="W7:X7"/>
    <mergeCell ref="Y7:Z7"/>
    <mergeCell ref="E8:F8"/>
    <mergeCell ref="G8:H8"/>
    <mergeCell ref="I8:J8"/>
    <mergeCell ref="K8:L8"/>
    <mergeCell ref="M8:N8"/>
    <mergeCell ref="O8:P8"/>
    <mergeCell ref="K7:L7"/>
    <mergeCell ref="M7:N7"/>
    <mergeCell ref="O7:P7"/>
    <mergeCell ref="Q7:R7"/>
    <mergeCell ref="S7:T7"/>
    <mergeCell ref="Y8:Z8"/>
    <mergeCell ref="E10:F10"/>
    <mergeCell ref="G10:H10"/>
    <mergeCell ref="I10:J10"/>
    <mergeCell ref="K10:L10"/>
    <mergeCell ref="M10:N10"/>
    <mergeCell ref="O10:P10"/>
    <mergeCell ref="Q10:R10"/>
    <mergeCell ref="S10:T10"/>
    <mergeCell ref="Q8:R8"/>
    <mergeCell ref="S8:T8"/>
    <mergeCell ref="U8:V8"/>
    <mergeCell ref="W8:X8"/>
    <mergeCell ref="U10:V10"/>
    <mergeCell ref="W10:X10"/>
    <mergeCell ref="Y10:Z10"/>
    <mergeCell ref="A11:A14"/>
    <mergeCell ref="B11:B14"/>
    <mergeCell ref="C11:C14"/>
    <mergeCell ref="E11:F11"/>
    <mergeCell ref="G11:H11"/>
    <mergeCell ref="I11:J11"/>
    <mergeCell ref="U11:V11"/>
    <mergeCell ref="W11:X11"/>
    <mergeCell ref="Y11:Z11"/>
    <mergeCell ref="E12:F12"/>
    <mergeCell ref="G12:H12"/>
    <mergeCell ref="I12:J12"/>
    <mergeCell ref="K12:L12"/>
    <mergeCell ref="M12:N12"/>
    <mergeCell ref="O12:P12"/>
    <mergeCell ref="K11:L11"/>
    <mergeCell ref="M11:N11"/>
    <mergeCell ref="O11:P11"/>
    <mergeCell ref="Q11:R11"/>
    <mergeCell ref="S11:T11"/>
    <mergeCell ref="Y12:Z12"/>
    <mergeCell ref="E14:F14"/>
    <mergeCell ref="G14:H14"/>
    <mergeCell ref="I14:J14"/>
    <mergeCell ref="K14:L14"/>
    <mergeCell ref="M14:N14"/>
    <mergeCell ref="O14:P14"/>
    <mergeCell ref="Q14:R14"/>
    <mergeCell ref="S14:T14"/>
    <mergeCell ref="Q12:R12"/>
    <mergeCell ref="S12:T12"/>
    <mergeCell ref="U12:V12"/>
    <mergeCell ref="W12:X12"/>
    <mergeCell ref="U14:V14"/>
    <mergeCell ref="W14:X14"/>
    <mergeCell ref="Y14:Z14"/>
    <mergeCell ref="A15:A18"/>
    <mergeCell ref="B15:B18"/>
    <mergeCell ref="C15:C18"/>
    <mergeCell ref="E15:F15"/>
    <mergeCell ref="G15:H15"/>
    <mergeCell ref="I15:J15"/>
    <mergeCell ref="U15:V15"/>
    <mergeCell ref="W15:X15"/>
    <mergeCell ref="Y15:Z15"/>
    <mergeCell ref="E16:F16"/>
    <mergeCell ref="G16:H16"/>
    <mergeCell ref="I16:J16"/>
    <mergeCell ref="K16:L16"/>
    <mergeCell ref="M16:N16"/>
    <mergeCell ref="O16:P16"/>
    <mergeCell ref="K15:L15"/>
    <mergeCell ref="M15:N15"/>
    <mergeCell ref="O15:P15"/>
    <mergeCell ref="Q15:R15"/>
    <mergeCell ref="S15:T15"/>
    <mergeCell ref="U18:V18"/>
    <mergeCell ref="W18:X18"/>
    <mergeCell ref="Y18:Z18"/>
    <mergeCell ref="Y16:Z16"/>
    <mergeCell ref="E18:F18"/>
    <mergeCell ref="G18:H18"/>
    <mergeCell ref="I18:J18"/>
    <mergeCell ref="K18:L18"/>
    <mergeCell ref="M18:N18"/>
    <mergeCell ref="O18:P18"/>
    <mergeCell ref="Q18:R18"/>
    <mergeCell ref="S18:T18"/>
    <mergeCell ref="Q16:R16"/>
    <mergeCell ref="S16:T16"/>
    <mergeCell ref="U16:V16"/>
    <mergeCell ref="W16:X16"/>
  </mergeCells>
  <conditionalFormatting sqref="E6:Z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Z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Z1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Z1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2026-03-09T22:50:08Z</dcterms:created>
  <dcterms:modified xsi:type="dcterms:W3CDTF">2026-05-06T22:39:24Z</dcterms:modified>
  <cp:category/>
  <cp:contentStatus/>
</cp:coreProperties>
</file>